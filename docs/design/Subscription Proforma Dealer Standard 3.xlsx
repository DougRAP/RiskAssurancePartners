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Newco\AI\Subscription\Proforma\"/>
    </mc:Choice>
  </mc:AlternateContent>
  <xr:revisionPtr revIDLastSave="0" documentId="13_ncr:1_{7EC02C6C-91E1-4367-817D-48E649DD639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aler Standard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4" l="1"/>
  <c r="L61" i="4"/>
  <c r="M61" i="4" s="1"/>
  <c r="N61" i="4" s="1"/>
  <c r="O61" i="4" s="1"/>
  <c r="P61" i="4" s="1"/>
  <c r="Q61" i="4" s="1"/>
  <c r="R61" i="4" s="1"/>
  <c r="S61" i="4" s="1"/>
  <c r="T61" i="4" s="1"/>
  <c r="U61" i="4" s="1"/>
  <c r="V61" i="4" s="1"/>
  <c r="W61" i="4" s="1"/>
  <c r="X61" i="4" s="1"/>
  <c r="Y61" i="4" s="1"/>
  <c r="Z61" i="4" s="1"/>
  <c r="AA61" i="4" s="1"/>
  <c r="AB61" i="4" s="1"/>
  <c r="AC61" i="4" s="1"/>
  <c r="AD61" i="4" s="1"/>
  <c r="AE61" i="4" s="1"/>
  <c r="AF61" i="4" s="1"/>
  <c r="AG61" i="4" s="1"/>
  <c r="AH61" i="4" s="1"/>
  <c r="AI61" i="4" s="1"/>
  <c r="AJ61" i="4" s="1"/>
  <c r="AK61" i="4" s="1"/>
  <c r="AL61" i="4" s="1"/>
  <c r="AM61" i="4" s="1"/>
  <c r="AN61" i="4" s="1"/>
  <c r="AO61" i="4" s="1"/>
  <c r="AP61" i="4" s="1"/>
  <c r="AQ61" i="4" s="1"/>
  <c r="AR61" i="4" s="1"/>
  <c r="AS61" i="4" s="1"/>
  <c r="AT61" i="4" s="1"/>
  <c r="AT59" i="4"/>
  <c r="AT58" i="4"/>
  <c r="AS58" i="4"/>
  <c r="AT57" i="4"/>
  <c r="AS57" i="4"/>
  <c r="AR57" i="4"/>
  <c r="AT56" i="4"/>
  <c r="AS56" i="4"/>
  <c r="AR56" i="4"/>
  <c r="AQ56" i="4"/>
  <c r="AT55" i="4"/>
  <c r="AS55" i="4"/>
  <c r="AR55" i="4"/>
  <c r="AQ55" i="4"/>
  <c r="AP55" i="4"/>
  <c r="AT54" i="4"/>
  <c r="AS54" i="4"/>
  <c r="AR54" i="4"/>
  <c r="AQ54" i="4"/>
  <c r="AP54" i="4"/>
  <c r="AO54" i="4"/>
  <c r="AT53" i="4"/>
  <c r="AS53" i="4"/>
  <c r="AR53" i="4"/>
  <c r="AQ53" i="4"/>
  <c r="AP53" i="4"/>
  <c r="AO53" i="4"/>
  <c r="AN53" i="4"/>
  <c r="AT52" i="4"/>
  <c r="AS52" i="4"/>
  <c r="AR52" i="4"/>
  <c r="AQ52" i="4"/>
  <c r="AP52" i="4"/>
  <c r="AO52" i="4"/>
  <c r="AN52" i="4"/>
  <c r="AM52" i="4"/>
  <c r="AT51" i="4"/>
  <c r="AS51" i="4"/>
  <c r="AR51" i="4"/>
  <c r="AQ51" i="4"/>
  <c r="AP51" i="4"/>
  <c r="AO51" i="4"/>
  <c r="AN51" i="4"/>
  <c r="AM51" i="4"/>
  <c r="AL51" i="4"/>
  <c r="AT50" i="4"/>
  <c r="AS50" i="4"/>
  <c r="AR50" i="4"/>
  <c r="AQ50" i="4"/>
  <c r="AP50" i="4"/>
  <c r="AO50" i="4"/>
  <c r="AN50" i="4"/>
  <c r="AM50" i="4"/>
  <c r="AL50" i="4"/>
  <c r="AK50" i="4"/>
  <c r="AT49" i="4"/>
  <c r="AS49" i="4"/>
  <c r="AR49" i="4"/>
  <c r="AQ49" i="4"/>
  <c r="AP49" i="4"/>
  <c r="AO49" i="4"/>
  <c r="AN49" i="4"/>
  <c r="AM49" i="4"/>
  <c r="AL49" i="4"/>
  <c r="AK49" i="4"/>
  <c r="AJ49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X27" i="4" s="1"/>
  <c r="Y35" i="4"/>
  <c r="X35" i="4"/>
  <c r="W35" i="4"/>
  <c r="V35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W27" i="4"/>
  <c r="V27" i="4"/>
  <c r="U27" i="4"/>
  <c r="T27" i="4"/>
  <c r="S27" i="4"/>
  <c r="R27" i="4"/>
  <c r="Q27" i="4"/>
  <c r="P27" i="4"/>
  <c r="O27" i="4"/>
  <c r="N27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J25" i="4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K60" i="4" s="1"/>
  <c r="L23" i="4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R22" i="4"/>
  <c r="P22" i="4"/>
  <c r="D18" i="4"/>
  <c r="C18" i="4"/>
  <c r="H16" i="4"/>
  <c r="G16" i="4"/>
  <c r="G11" i="4"/>
  <c r="H11" i="4" s="1"/>
  <c r="F18" i="4" l="1"/>
  <c r="L60" i="4"/>
  <c r="H15" i="4"/>
  <c r="H17" i="4" s="1"/>
  <c r="V60" i="4"/>
  <c r="W60" i="4"/>
  <c r="X60" i="4"/>
  <c r="Y60" i="4"/>
  <c r="M60" i="4"/>
  <c r="AO60" i="4"/>
  <c r="Z60" i="4"/>
  <c r="AB60" i="4"/>
  <c r="AC60" i="4"/>
  <c r="P60" i="4"/>
  <c r="AR60" i="4"/>
  <c r="AE60" i="4"/>
  <c r="AF60" i="4"/>
  <c r="AL60" i="4"/>
  <c r="AM60" i="4"/>
  <c r="AA60" i="4"/>
  <c r="AN60" i="4"/>
  <c r="N60" i="4"/>
  <c r="AP60" i="4"/>
  <c r="O60" i="4"/>
  <c r="AQ60" i="4"/>
  <c r="AD60" i="4"/>
  <c r="Q60" i="4"/>
  <c r="AS60" i="4"/>
  <c r="R60" i="4"/>
  <c r="AT60" i="4"/>
  <c r="S60" i="4"/>
  <c r="AG60" i="4"/>
  <c r="T60" i="4"/>
  <c r="AH60" i="4"/>
  <c r="U60" i="4"/>
  <c r="AI60" i="4"/>
  <c r="AJ60" i="4"/>
  <c r="AK60" i="4"/>
  <c r="G15" i="4"/>
  <c r="G17" i="4" s="1"/>
  <c r="H19" i="4" l="1"/>
  <c r="G19" i="4"/>
  <c r="C26" i="4"/>
  <c r="D26" i="4" s="1"/>
  <c r="E26" i="4" s="1"/>
  <c r="C28" i="4"/>
  <c r="D28" i="4" s="1"/>
  <c r="E28" i="4" s="1"/>
  <c r="C25" i="4"/>
  <c r="D25" i="4" s="1"/>
  <c r="E25" i="4" s="1"/>
  <c r="C27" i="4"/>
  <c r="C29" i="4"/>
  <c r="D29" i="4" s="1"/>
  <c r="E29" i="4" s="1"/>
  <c r="C24" i="4"/>
  <c r="D24" i="4" s="1"/>
  <c r="E24" i="4" s="1"/>
  <c r="F17" i="4"/>
  <c r="F19" i="4" l="1"/>
  <c r="D27" i="4"/>
  <c r="E27" i="4" s="1"/>
</calcChain>
</file>

<file path=xl/sharedStrings.xml><?xml version="1.0" encoding="utf-8"?>
<sst xmlns="http://schemas.openxmlformats.org/spreadsheetml/2006/main" count="46" uniqueCount="45">
  <si>
    <t>SUBSCRIPTION PROFORMA</t>
  </si>
  <si>
    <t>KEY ASSUMPTIONS</t>
  </si>
  <si>
    <t>DEALER ECONOMICS</t>
  </si>
  <si>
    <t>Remit to RAP</t>
  </si>
  <si>
    <t>RSA Commission %</t>
  </si>
  <si>
    <t>Avg # Payments</t>
  </si>
  <si>
    <t>Per Subscriber</t>
  </si>
  <si>
    <t>One Subscriber</t>
  </si>
  <si>
    <t>Profit</t>
  </si>
  <si>
    <t>One Subcriber # Payments</t>
  </si>
  <si>
    <t>RSA Commission</t>
  </si>
  <si>
    <t>% of Payment to Reserve &amp; Stripe</t>
  </si>
  <si>
    <t>Dealer Options</t>
  </si>
  <si>
    <t>Subcription Cancel Rate</t>
  </si>
  <si>
    <t>Each Month</t>
  </si>
  <si>
    <t>New Subscribers</t>
  </si>
  <si>
    <t>Each Mth</t>
  </si>
  <si>
    <t># Dealers Selling</t>
  </si>
  <si>
    <t>2. Set subscription cancel rate each month in cell L7</t>
  </si>
  <si>
    <t>3. Set number of payments each subscriber is likely to make in L8</t>
  </si>
  <si>
    <t>1. Set number of NEW subscription sales each month in cell L6 (does not include sales from prior month and is new business)</t>
  </si>
  <si>
    <t>New Subscribers/Month &amp; Cancel Rate</t>
  </si>
  <si>
    <t>Sales/Subscriber (New Monthly Subscribers - Cancels x # Payments)</t>
  </si>
  <si>
    <t>Month</t>
  </si>
  <si>
    <t>36 MONTH SUBSCRIBER PAYMENTS CASHFLOW</t>
  </si>
  <si>
    <t>Subscriber Payment Dealer Share</t>
  </si>
  <si>
    <t>Dealer Share</t>
  </si>
  <si>
    <t>New Sales/Mth</t>
  </si>
  <si>
    <t>6 Months</t>
  </si>
  <si>
    <t>12 Months</t>
  </si>
  <si>
    <t>18 Months</t>
  </si>
  <si>
    <t>24 Months</t>
  </si>
  <si>
    <t>30 Months</t>
  </si>
  <si>
    <t>36 Months</t>
  </si>
  <si>
    <t>Net Earned from One Subscriber</t>
  </si>
  <si>
    <t>Dealer Profit</t>
  </si>
  <si>
    <t>Calculated, see F8</t>
  </si>
  <si>
    <t>4. Set % of each subscription payment to deposit into Dealer Profit Stripe account (cell F8)</t>
  </si>
  <si>
    <t>5. RSA commision is calculated as 1-F8, the remainder of Subscription payment not used to fund Dealer Profit account</t>
  </si>
  <si>
    <t>Sell through RAP online Kiosk, instant deposits when subscribers make payments, includes tracking &amp; reporting dashboard</t>
  </si>
  <si>
    <t>Targets 70% of customers that decline protection as checkout, compliments existing protection program, appeals to Millennials, budget friendly</t>
  </si>
  <si>
    <t>Gross Cumulative Subscription Payments Over 36 Months</t>
  </si>
  <si>
    <t>Total</t>
  </si>
  <si>
    <t>RSA Comm</t>
  </si>
  <si>
    <t>excludes claim losses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</si>
</sst>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;[Red]\(#,##0\);\-"/>
    <numFmt numFmtId="165" formatCode="0.0%"/>
    <numFmt numFmtId="166" formatCode="_(&quot;$&quot;* #,##0_);_(&quot;$&quot;* \(#,##0\);_(&quot;$&quot;* &quot;-&quot;??_);_(@_)"/>
  </numFmts>
  <fonts count="10">
    <font>
      <sz val="11"/>
      <name val="Carlito"/>
    </font>
    <font>
      <b/>
      <sz val="16"/>
      <color rgb="FFFFFFFF"/>
      <name val="Carlito"/>
    </font>
    <font>
      <i/>
      <sz val="10"/>
      <color rgb="FF666666"/>
      <name val="Carlito"/>
    </font>
    <font>
      <b/>
      <sz val="11"/>
      <color rgb="FFFFFFFF"/>
      <name val="Carlito"/>
    </font>
    <font>
      <sz val="11"/>
      <color rgb="FF0000FF"/>
      <name val="Carlito"/>
    </font>
    <font>
      <sz val="11"/>
      <name val="Carlito"/>
    </font>
    <font>
      <b/>
      <sz val="10"/>
      <name val="Carlito"/>
    </font>
    <font>
      <sz val="11"/>
      <color theme="0"/>
      <name val="Carlito"/>
    </font>
    <font>
      <sz val="10"/>
      <name val="Carlito"/>
    </font>
    <font>
      <sz val="10"/>
      <color rgb="FF0000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B0B66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6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/>
    <xf numFmtId="44" fontId="4" fillId="4" borderId="1" xfId="1" applyFont="1" applyFill="1" applyBorder="1" applyAlignment="1">
      <alignment horizontal="right"/>
    </xf>
    <xf numFmtId="44" fontId="4" fillId="4" borderId="1" xfId="2" applyNumberFormat="1" applyFont="1" applyFill="1" applyBorder="1" applyAlignment="1">
      <alignment horizontal="right"/>
    </xf>
    <xf numFmtId="164" fontId="4" fillId="4" borderId="2" xfId="0" applyNumberFormat="1" applyFont="1" applyFill="1" applyBorder="1" applyAlignment="1">
      <alignment horizontal="right"/>
    </xf>
    <xf numFmtId="0" fontId="6" fillId="3" borderId="4" xfId="0" applyFont="1" applyFill="1" applyBorder="1" applyAlignment="1">
      <alignment horizontal="left" wrapText="1"/>
    </xf>
    <xf numFmtId="164" fontId="4" fillId="4" borderId="4" xfId="0" applyNumberFormat="1" applyFont="1" applyFill="1" applyBorder="1" applyAlignment="1">
      <alignment horizontal="center"/>
    </xf>
    <xf numFmtId="164" fontId="4" fillId="4" borderId="5" xfId="0" applyNumberFormat="1" applyFont="1" applyFill="1" applyBorder="1" applyAlignment="1">
      <alignment horizontal="center"/>
    </xf>
    <xf numFmtId="44" fontId="4" fillId="4" borderId="7" xfId="1" applyFont="1" applyFill="1" applyBorder="1" applyAlignment="1">
      <alignment horizontal="right"/>
    </xf>
    <xf numFmtId="44" fontId="4" fillId="4" borderId="7" xfId="2" applyNumberFormat="1" applyFont="1" applyFill="1" applyBorder="1" applyAlignment="1">
      <alignment horizontal="right"/>
    </xf>
    <xf numFmtId="164" fontId="4" fillId="4" borderId="9" xfId="0" applyNumberFormat="1" applyFont="1" applyFill="1" applyBorder="1" applyAlignment="1">
      <alignment horizontal="right"/>
    </xf>
    <xf numFmtId="0" fontId="6" fillId="3" borderId="11" xfId="0" applyFont="1" applyFill="1" applyBorder="1" applyAlignment="1">
      <alignment horizontal="left" wrapText="1"/>
    </xf>
    <xf numFmtId="44" fontId="4" fillId="4" borderId="11" xfId="2" applyNumberFormat="1" applyFont="1" applyFill="1" applyBorder="1" applyAlignment="1">
      <alignment horizontal="right"/>
    </xf>
    <xf numFmtId="44" fontId="4" fillId="4" borderId="12" xfId="2" applyNumberFormat="1" applyFont="1" applyFill="1" applyBorder="1" applyAlignment="1">
      <alignment horizontal="right"/>
    </xf>
    <xf numFmtId="0" fontId="6" fillId="3" borderId="3" xfId="0" applyFont="1" applyFill="1" applyBorder="1" applyAlignment="1">
      <alignment horizontal="left"/>
    </xf>
    <xf numFmtId="166" fontId="4" fillId="4" borderId="4" xfId="2" applyNumberFormat="1" applyFont="1" applyFill="1" applyBorder="1" applyAlignment="1">
      <alignment horizontal="right"/>
    </xf>
    <xf numFmtId="166" fontId="4" fillId="4" borderId="5" xfId="2" applyNumberFormat="1" applyFont="1" applyFill="1" applyBorder="1" applyAlignment="1">
      <alignment horizontal="right"/>
    </xf>
    <xf numFmtId="0" fontId="6" fillId="3" borderId="10" xfId="0" applyFont="1" applyFill="1" applyBorder="1" applyAlignment="1">
      <alignment horizontal="left"/>
    </xf>
    <xf numFmtId="166" fontId="4" fillId="4" borderId="11" xfId="2" applyNumberFormat="1" applyFont="1" applyFill="1" applyBorder="1" applyAlignment="1">
      <alignment horizontal="right"/>
    </xf>
    <xf numFmtId="166" fontId="4" fillId="4" borderId="12" xfId="2" applyNumberFormat="1" applyFont="1" applyFill="1" applyBorder="1" applyAlignment="1">
      <alignment horizontal="right"/>
    </xf>
    <xf numFmtId="164" fontId="4" fillId="4" borderId="7" xfId="0" applyNumberFormat="1" applyFont="1" applyFill="1" applyBorder="1" applyAlignment="1">
      <alignment horizontal="right"/>
    </xf>
    <xf numFmtId="0" fontId="3" fillId="2" borderId="13" xfId="0" applyFont="1" applyFill="1" applyBorder="1"/>
    <xf numFmtId="0" fontId="3" fillId="2" borderId="14" xfId="0" applyFont="1" applyFill="1" applyBorder="1"/>
    <xf numFmtId="0" fontId="3" fillId="2" borderId="15" xfId="0" applyFont="1" applyFill="1" applyBorder="1"/>
    <xf numFmtId="165" fontId="4" fillId="4" borderId="1" xfId="2" applyNumberFormat="1" applyFont="1" applyFill="1" applyBorder="1" applyAlignment="1">
      <alignment horizontal="right"/>
    </xf>
    <xf numFmtId="9" fontId="0" fillId="0" borderId="0" xfId="0" applyNumberFormat="1"/>
    <xf numFmtId="9" fontId="7" fillId="6" borderId="1" xfId="1" applyNumberFormat="1" applyFont="1" applyFill="1" applyBorder="1" applyAlignment="1">
      <alignment horizontal="right"/>
    </xf>
    <xf numFmtId="0" fontId="6" fillId="3" borderId="6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9" fontId="6" fillId="3" borderId="1" xfId="0" applyNumberFormat="1" applyFont="1" applyFill="1" applyBorder="1" applyAlignment="1">
      <alignment wrapText="1"/>
    </xf>
    <xf numFmtId="0" fontId="0" fillId="0" borderId="7" xfId="0" applyBorder="1"/>
    <xf numFmtId="166" fontId="0" fillId="0" borderId="0" xfId="0" applyNumberFormat="1"/>
    <xf numFmtId="0" fontId="8" fillId="0" borderId="16" xfId="0" applyFont="1" applyBorder="1"/>
    <xf numFmtId="44" fontId="8" fillId="0" borderId="18" xfId="0" applyNumberFormat="1" applyFont="1" applyBorder="1"/>
    <xf numFmtId="0" fontId="8" fillId="0" borderId="17" xfId="0" applyFont="1" applyBorder="1"/>
    <xf numFmtId="0" fontId="8" fillId="0" borderId="13" xfId="0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4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166" fontId="0" fillId="0" borderId="1" xfId="0" applyNumberFormat="1" applyBorder="1"/>
    <xf numFmtId="166" fontId="0" fillId="0" borderId="7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44" fontId="9" fillId="4" borderId="1" xfId="1" applyFont="1" applyFill="1" applyBorder="1" applyAlignment="1">
      <alignment horizontal="center" wrapText="1"/>
    </xf>
    <xf numFmtId="44" fontId="9" fillId="4" borderId="7" xfId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6" fillId="3" borderId="3" xfId="0" applyFont="1" applyFill="1" applyBorder="1" applyAlignment="1">
      <alignment horizontal="left" wrapText="1"/>
    </xf>
    <xf numFmtId="0" fontId="6" fillId="3" borderId="4" xfId="0" applyFont="1" applyFill="1" applyBorder="1" applyAlignment="1">
      <alignment horizontal="left" wrapText="1"/>
    </xf>
    <xf numFmtId="0" fontId="0" fillId="5" borderId="0" xfId="0" applyFill="1"/>
    <xf numFmtId="0" fontId="6" fillId="3" borderId="6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 wrapText="1"/>
    </xf>
    <xf numFmtId="0" fontId="0" fillId="5" borderId="0" xfId="0" applyFill="1" applyAlignment="1">
      <alignment horizontal="left"/>
    </xf>
    <xf numFmtId="0" fontId="6" fillId="3" borderId="8" xfId="0" applyFont="1" applyFill="1" applyBorder="1" applyAlignment="1">
      <alignment horizontal="left" wrapText="1"/>
    </xf>
    <xf numFmtId="0" fontId="6" fillId="3" borderId="2" xfId="0" applyFont="1" applyFill="1" applyBorder="1" applyAlignment="1">
      <alignment horizontal="left" wrapText="1"/>
    </xf>
    <xf numFmtId="0" fontId="6" fillId="3" borderId="10" xfId="0" applyFont="1" applyFill="1" applyBorder="1" applyAlignment="1">
      <alignment horizontal="left" wrapText="1"/>
    </xf>
    <xf numFmtId="0" fontId="6" fillId="3" borderId="11" xfId="0" applyFont="1" applyFill="1" applyBorder="1" applyAlignment="1">
      <alignment horizontal="left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Subscription Cumulative Cash Payments to Dealer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'Dealer Standard'!$B$24:$B$29</c:f>
              <c:strCache>
                <c:ptCount val="6"/>
                <c:pt idx="0">
                  <c:v>6 Months</c:v>
                </c:pt>
                <c:pt idx="1">
                  <c:v>12 Months</c:v>
                </c:pt>
                <c:pt idx="2">
                  <c:v>18 Months</c:v>
                </c:pt>
                <c:pt idx="3">
                  <c:v>24 Months</c:v>
                </c:pt>
                <c:pt idx="4">
                  <c:v>30 Months</c:v>
                </c:pt>
                <c:pt idx="5">
                  <c:v>36 Months</c:v>
                </c:pt>
              </c:strCache>
            </c:strRef>
          </c:cat>
          <c:val>
            <c:numRef>
              <c:f>'Dealer Standard'!$C$24:$C$29</c:f>
              <c:numCache>
                <c:formatCode>_("$"* #,##0_);_("$"* \(#,##0\);_("$"* "-"??_);_(@_)</c:formatCode>
                <c:ptCount val="6"/>
                <c:pt idx="0">
                  <c:v>33600</c:v>
                </c:pt>
                <c:pt idx="1">
                  <c:v>124800</c:v>
                </c:pt>
                <c:pt idx="2">
                  <c:v>273600</c:v>
                </c:pt>
                <c:pt idx="3">
                  <c:v>480000</c:v>
                </c:pt>
                <c:pt idx="4">
                  <c:v>744000</c:v>
                </c:pt>
                <c:pt idx="5">
                  <c:v>1065600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76-4B3B-BCE2-242B4AF30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011870511"/>
        <c:axId val="528963407"/>
      </c:lineChart>
      <c:catAx>
        <c:axId val="101187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963407"/>
        <c:crosses val="autoZero"/>
        <c:auto val="1"/>
        <c:lblAlgn val="ctr"/>
        <c:lblOffset val="100"/>
        <c:noMultiLvlLbl val="0"/>
      </c:catAx>
      <c:valAx>
        <c:axId val="528963407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87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79374</xdr:colOff>
      <xdr:row>32</xdr:row>
      <xdr:rowOff>13498</xdr:rowOff>
    </xdr:from>
    <xdr:to>
      <xdr:col>7</xdr:col>
      <xdr:colOff>436563</xdr:colOff>
      <xdr:row>52</xdr:row>
      <xdr:rowOff>23817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A8A76B-2535-4A97-849A-8DAD701DD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79375</xdr:colOff>
      <xdr:row>7</xdr:row>
      <xdr:rowOff>119063</xdr:rowOff>
    </xdr:from>
    <xdr:to>
      <xdr:col>14</xdr:col>
      <xdr:colOff>420688</xdr:colOff>
      <xdr:row>9</xdr:row>
      <xdr:rowOff>206375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3E6AF9F4-F681-1F5D-EBEA-8DD87613B5A0}"/>
            </a:ext>
          </a:extLst>
        </xdr:cNvPr>
        <xdr:cNvSpPr/>
      </xdr:nvSpPr>
      <xdr:spPr>
        <a:xfrm>
          <a:off x="12112625" y="1468438"/>
          <a:ext cx="1182688" cy="611187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Adjust</a:t>
          </a:r>
          <a:r>
            <a:rPr lang="en-US" sz="1100" baseline="0"/>
            <a:t> Units</a:t>
          </a:r>
          <a:endParaRPr lang="en-US" sz="1100"/>
        </a:p>
      </xdr:txBody>
    </xdr:sp>
    <xdr:clientData/>
  </xdr:twoCellAnchor>
  <xdr:twoCellAnchor>
    <xdr:from>
      <xdr:col>5</xdr:col>
      <xdr:colOff>182563</xdr:colOff>
      <xdr:row>24</xdr:row>
      <xdr:rowOff>103188</xdr:rowOff>
    </xdr:from>
    <xdr:to>
      <xdr:col>6</xdr:col>
      <xdr:colOff>523876</xdr:colOff>
      <xdr:row>28</xdr:row>
      <xdr:rowOff>15875</xdr:rowOff>
    </xdr:to>
    <xdr:sp macro="" textlink="">
      <xdr:nvSpPr>
        <xdr:cNvPr id="4" name="Arrow: Left 3">
          <a:extLst>
            <a:ext uri="{FF2B5EF4-FFF2-40B4-BE49-F238E27FC236}">
              <a16:creationId xmlns:a16="http://schemas.microsoft.com/office/drawing/2014/main" id="{C30A58AA-A2F4-42C5-88D2-824016E3CE10}"/>
            </a:ext>
          </a:extLst>
        </xdr:cNvPr>
        <xdr:cNvSpPr/>
      </xdr:nvSpPr>
      <xdr:spPr>
        <a:xfrm>
          <a:off x="5881688" y="5857876"/>
          <a:ext cx="1182688" cy="611187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Results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FB002-4BAD-42F2-A4FE-96C126DFA8C9}">
  <dimension ref="A1:AT61"/>
  <sheetViews>
    <sheetView tabSelected="1" topLeftCell="A10" zoomScale="80" zoomScaleNormal="80" workbookViewId="0">
      <selection activeCell="H27" sqref="H27"/>
    </sheetView>
  </sheetViews>
  <sheetFormatPr defaultRowHeight="14"/>
  <cols>
    <col min="1" max="1" width="4.5" customWidth="1"/>
    <col min="2" max="2" width="32.9140625" customWidth="1"/>
    <col min="3" max="3" width="13.25" customWidth="1"/>
    <col min="4" max="4" width="13.08203125" customWidth="1"/>
    <col min="5" max="6" width="11" customWidth="1"/>
    <col min="7" max="7" width="11.4140625" customWidth="1"/>
    <col min="8" max="8" width="12.5" customWidth="1"/>
    <col min="9" max="9" width="3.9140625" customWidth="1"/>
    <col min="10" max="10" width="11" customWidth="1"/>
    <col min="11" max="11" width="11.08203125" customWidth="1"/>
    <col min="12" max="32" width="11" customWidth="1"/>
    <col min="33" max="35" width="11.4140625" customWidth="1"/>
    <col min="36" max="36" width="10.1640625" customWidth="1"/>
    <col min="37" max="37" width="9.9140625" customWidth="1"/>
    <col min="38" max="38" width="9.83203125" customWidth="1"/>
    <col min="39" max="39" width="10.25" customWidth="1"/>
    <col min="40" max="40" width="9.83203125" customWidth="1"/>
    <col min="41" max="41" width="10.6640625" customWidth="1"/>
    <col min="42" max="42" width="10" customWidth="1"/>
    <col min="43" max="43" width="10.6640625" customWidth="1"/>
    <col min="44" max="44" width="10.58203125" customWidth="1"/>
    <col min="45" max="45" width="10.1640625" customWidth="1"/>
    <col min="46" max="46" width="9.58203125" customWidth="1"/>
  </cols>
  <sheetData>
    <row r="1" spans="1:35" ht="17.399999999999999" customHeight="1">
      <c r="A1" s="4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7.399999999999999" customHeight="1">
      <c r="A2" s="4"/>
      <c r="B2" s="4" t="s">
        <v>39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17.399999999999999" customHeight="1">
      <c r="A3" s="4"/>
      <c r="B3" s="4" t="s">
        <v>40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7.399999999999999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3.4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1" customHeight="1" thickBot="1"/>
    <row r="7" spans="1:35" ht="14.5" thickBot="1">
      <c r="B7" s="25" t="s">
        <v>2</v>
      </c>
      <c r="C7" s="26"/>
      <c r="D7" s="26"/>
      <c r="E7" s="26"/>
      <c r="F7" s="26"/>
      <c r="G7" s="26"/>
      <c r="H7" s="27"/>
      <c r="J7" s="5" t="s">
        <v>1</v>
      </c>
      <c r="K7" s="5"/>
      <c r="L7" s="5"/>
      <c r="M7" s="5"/>
      <c r="N7" s="5"/>
    </row>
    <row r="8" spans="1:35" ht="20.5" customHeight="1">
      <c r="B8" s="55" t="s">
        <v>7</v>
      </c>
      <c r="C8" s="56"/>
      <c r="D8" s="56"/>
      <c r="E8" s="56"/>
      <c r="F8" s="10">
        <v>1</v>
      </c>
      <c r="G8" s="10"/>
      <c r="H8" s="11"/>
      <c r="J8" s="57" t="s">
        <v>17</v>
      </c>
      <c r="K8" s="57"/>
      <c r="L8">
        <v>1</v>
      </c>
    </row>
    <row r="9" spans="1:35" ht="20.5" customHeight="1">
      <c r="B9" s="58" t="s">
        <v>3</v>
      </c>
      <c r="C9" s="59"/>
      <c r="D9" s="59"/>
      <c r="E9" s="59"/>
      <c r="F9" s="6">
        <v>0</v>
      </c>
      <c r="G9" s="6"/>
      <c r="H9" s="12"/>
      <c r="J9" s="60" t="s">
        <v>15</v>
      </c>
      <c r="K9" s="60"/>
      <c r="L9">
        <v>200</v>
      </c>
      <c r="M9" t="s">
        <v>16</v>
      </c>
    </row>
    <row r="10" spans="1:35" ht="30.5" customHeight="1">
      <c r="B10" s="58" t="s">
        <v>25</v>
      </c>
      <c r="C10" s="59"/>
      <c r="D10" s="59"/>
      <c r="E10" s="59"/>
      <c r="F10" s="6">
        <v>8</v>
      </c>
      <c r="G10" s="52" t="s">
        <v>35</v>
      </c>
      <c r="H10" s="53" t="s">
        <v>10</v>
      </c>
      <c r="J10" s="60" t="s">
        <v>13</v>
      </c>
      <c r="K10" s="60"/>
      <c r="L10" s="29">
        <v>0</v>
      </c>
      <c r="M10" t="s">
        <v>14</v>
      </c>
    </row>
    <row r="11" spans="1:35" ht="20.5" customHeight="1">
      <c r="B11" s="58" t="s">
        <v>11</v>
      </c>
      <c r="C11" s="59"/>
      <c r="D11" s="59"/>
      <c r="E11" s="59"/>
      <c r="F11" s="30">
        <v>1</v>
      </c>
      <c r="G11" s="6">
        <f>F10*F11</f>
        <v>8</v>
      </c>
      <c r="H11" s="12">
        <f>F10-G11</f>
        <v>0</v>
      </c>
      <c r="J11" s="60" t="s">
        <v>5</v>
      </c>
      <c r="K11" s="60"/>
      <c r="L11">
        <v>36</v>
      </c>
      <c r="M11" t="s">
        <v>6</v>
      </c>
    </row>
    <row r="12" spans="1:35" ht="20.5" customHeight="1">
      <c r="B12" s="58"/>
      <c r="C12" s="59"/>
      <c r="D12" s="59"/>
      <c r="E12" s="59"/>
      <c r="F12" s="6"/>
      <c r="G12" s="6"/>
      <c r="H12" s="12">
        <v>0</v>
      </c>
      <c r="J12" s="60" t="s">
        <v>4</v>
      </c>
      <c r="K12" s="60"/>
      <c r="L12" s="29">
        <f>1-F11</f>
        <v>0</v>
      </c>
      <c r="M12" t="s">
        <v>36</v>
      </c>
    </row>
    <row r="13" spans="1:35" ht="20.5" customHeight="1">
      <c r="B13" s="58"/>
      <c r="C13" s="59"/>
      <c r="D13" s="59"/>
      <c r="E13" s="59"/>
      <c r="F13" s="6"/>
      <c r="G13" s="6"/>
      <c r="H13" s="12">
        <v>0</v>
      </c>
    </row>
    <row r="14" spans="1:35" ht="20.5" customHeight="1">
      <c r="B14" s="58"/>
      <c r="C14" s="59"/>
      <c r="D14" s="59"/>
      <c r="E14" s="59"/>
      <c r="F14" s="6"/>
      <c r="G14" s="6"/>
      <c r="H14" s="12"/>
      <c r="J14" t="s">
        <v>12</v>
      </c>
    </row>
    <row r="15" spans="1:35" ht="20.5" customHeight="1">
      <c r="B15" s="58" t="s">
        <v>8</v>
      </c>
      <c r="C15" s="59"/>
      <c r="D15" s="59"/>
      <c r="E15" s="59"/>
      <c r="F15" s="7"/>
      <c r="G15" s="7">
        <f>G11-(G12+G13+G14)</f>
        <v>8</v>
      </c>
      <c r="H15" s="13">
        <f>H11-(H12+H13+H14)</f>
        <v>0</v>
      </c>
      <c r="J15" t="s">
        <v>20</v>
      </c>
    </row>
    <row r="16" spans="1:35" ht="20.5" customHeight="1" thickBot="1">
      <c r="B16" s="61" t="s">
        <v>9</v>
      </c>
      <c r="C16" s="62"/>
      <c r="D16" s="62"/>
      <c r="E16" s="62"/>
      <c r="F16" s="8"/>
      <c r="G16" s="8">
        <f>L11</f>
        <v>36</v>
      </c>
      <c r="H16" s="14">
        <f>L11</f>
        <v>36</v>
      </c>
      <c r="J16" t="s">
        <v>18</v>
      </c>
    </row>
    <row r="17" spans="2:46" ht="20.5" customHeight="1" thickTop="1" thickBot="1">
      <c r="B17" s="63" t="s">
        <v>34</v>
      </c>
      <c r="C17" s="64"/>
      <c r="D17" s="64"/>
      <c r="E17" s="64"/>
      <c r="F17" s="16">
        <f>SUM(G17:H17)</f>
        <v>288</v>
      </c>
      <c r="G17" s="16">
        <f>G15*G16</f>
        <v>288</v>
      </c>
      <c r="H17" s="17">
        <f>H15*H16</f>
        <v>0</v>
      </c>
      <c r="J17" t="s">
        <v>19</v>
      </c>
    </row>
    <row r="18" spans="2:46" ht="20.5" customHeight="1" thickBot="1">
      <c r="B18" s="31" t="s">
        <v>21</v>
      </c>
      <c r="C18" s="32">
        <f>L9</f>
        <v>200</v>
      </c>
      <c r="D18" s="33">
        <f>L10</f>
        <v>0</v>
      </c>
      <c r="E18" s="32"/>
      <c r="F18" s="24">
        <f>C18*(1-D18)</f>
        <v>200</v>
      </c>
      <c r="G18" s="28"/>
      <c r="H18" s="12"/>
      <c r="J18" t="s">
        <v>37</v>
      </c>
    </row>
    <row r="19" spans="2:46" ht="20.5" customHeight="1">
      <c r="B19" s="18" t="s">
        <v>22</v>
      </c>
      <c r="C19" s="9"/>
      <c r="D19" s="9"/>
      <c r="E19" s="9"/>
      <c r="F19" s="19">
        <f>SUM(G19:H19)</f>
        <v>57600</v>
      </c>
      <c r="G19" s="19">
        <f>F18*G17</f>
        <v>57600</v>
      </c>
      <c r="H19" s="20">
        <f>H17*F18</f>
        <v>0</v>
      </c>
      <c r="J19" t="s">
        <v>38</v>
      </c>
    </row>
    <row r="20" spans="2:46" ht="20.5" customHeight="1" thickBot="1">
      <c r="B20" s="21"/>
      <c r="C20" s="15"/>
      <c r="D20" s="15"/>
      <c r="E20" s="15"/>
      <c r="F20" s="22"/>
      <c r="G20" s="22"/>
      <c r="H20" s="23"/>
    </row>
    <row r="21" spans="2:46" ht="20.5" customHeight="1" thickBot="1"/>
    <row r="22" spans="2:46" ht="20.5" customHeight="1" thickBot="1">
      <c r="B22" t="s">
        <v>41</v>
      </c>
      <c r="J22" s="39" t="s">
        <v>24</v>
      </c>
      <c r="K22" s="40"/>
      <c r="L22" s="40"/>
      <c r="M22" s="40"/>
      <c r="N22" s="41"/>
      <c r="O22" s="36" t="s">
        <v>26</v>
      </c>
      <c r="P22" s="37">
        <f>F10</f>
        <v>8</v>
      </c>
      <c r="Q22" s="36" t="s">
        <v>27</v>
      </c>
      <c r="R22" s="38">
        <f>L9</f>
        <v>200</v>
      </c>
      <c r="S22" s="42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4"/>
    </row>
    <row r="23" spans="2:46">
      <c r="C23" s="54" t="s">
        <v>42</v>
      </c>
      <c r="D23" s="54" t="s">
        <v>35</v>
      </c>
      <c r="E23" s="54" t="s">
        <v>43</v>
      </c>
      <c r="J23" s="45" t="s">
        <v>23</v>
      </c>
      <c r="K23" s="46">
        <v>1</v>
      </c>
      <c r="L23" s="46">
        <f t="shared" ref="L23:AT23" si="0">K23+1</f>
        <v>2</v>
      </c>
      <c r="M23" s="46">
        <f t="shared" si="0"/>
        <v>3</v>
      </c>
      <c r="N23" s="46">
        <f t="shared" si="0"/>
        <v>4</v>
      </c>
      <c r="O23" s="46">
        <f t="shared" si="0"/>
        <v>5</v>
      </c>
      <c r="P23" s="46">
        <f t="shared" si="0"/>
        <v>6</v>
      </c>
      <c r="Q23" s="46">
        <f t="shared" si="0"/>
        <v>7</v>
      </c>
      <c r="R23" s="46">
        <f t="shared" si="0"/>
        <v>8</v>
      </c>
      <c r="S23" s="46">
        <f t="shared" si="0"/>
        <v>9</v>
      </c>
      <c r="T23" s="46">
        <f t="shared" si="0"/>
        <v>10</v>
      </c>
      <c r="U23" s="46">
        <f t="shared" si="0"/>
        <v>11</v>
      </c>
      <c r="V23" s="46">
        <f t="shared" si="0"/>
        <v>12</v>
      </c>
      <c r="W23" s="46">
        <f t="shared" si="0"/>
        <v>13</v>
      </c>
      <c r="X23" s="46">
        <f t="shared" si="0"/>
        <v>14</v>
      </c>
      <c r="Y23" s="46">
        <f t="shared" si="0"/>
        <v>15</v>
      </c>
      <c r="Z23" s="46">
        <f t="shared" si="0"/>
        <v>16</v>
      </c>
      <c r="AA23" s="46">
        <f t="shared" si="0"/>
        <v>17</v>
      </c>
      <c r="AB23" s="46">
        <f t="shared" si="0"/>
        <v>18</v>
      </c>
      <c r="AC23" s="46">
        <f t="shared" si="0"/>
        <v>19</v>
      </c>
      <c r="AD23" s="46">
        <f t="shared" si="0"/>
        <v>20</v>
      </c>
      <c r="AE23" s="46">
        <f t="shared" si="0"/>
        <v>21</v>
      </c>
      <c r="AF23" s="46">
        <f t="shared" si="0"/>
        <v>22</v>
      </c>
      <c r="AG23" s="46">
        <f t="shared" si="0"/>
        <v>23</v>
      </c>
      <c r="AH23" s="46">
        <f t="shared" si="0"/>
        <v>24</v>
      </c>
      <c r="AI23" s="46">
        <f t="shared" si="0"/>
        <v>25</v>
      </c>
      <c r="AJ23" s="46">
        <f t="shared" si="0"/>
        <v>26</v>
      </c>
      <c r="AK23" s="46">
        <f t="shared" si="0"/>
        <v>27</v>
      </c>
      <c r="AL23" s="46">
        <f t="shared" si="0"/>
        <v>28</v>
      </c>
      <c r="AM23" s="46">
        <f t="shared" si="0"/>
        <v>29</v>
      </c>
      <c r="AN23" s="46">
        <f t="shared" si="0"/>
        <v>30</v>
      </c>
      <c r="AO23" s="46">
        <f t="shared" si="0"/>
        <v>31</v>
      </c>
      <c r="AP23" s="46">
        <f t="shared" si="0"/>
        <v>32</v>
      </c>
      <c r="AQ23" s="46">
        <f t="shared" si="0"/>
        <v>33</v>
      </c>
      <c r="AR23" s="46">
        <f t="shared" si="0"/>
        <v>34</v>
      </c>
      <c r="AS23" s="46">
        <f t="shared" si="0"/>
        <v>35</v>
      </c>
      <c r="AT23" s="34">
        <f t="shared" si="0"/>
        <v>36</v>
      </c>
    </row>
    <row r="24" spans="2:46">
      <c r="B24" t="s">
        <v>28</v>
      </c>
      <c r="C24" s="35">
        <f>SUM(K60:P60)</f>
        <v>33600</v>
      </c>
      <c r="D24" s="35">
        <f>C24*$F$11</f>
        <v>33600</v>
      </c>
      <c r="E24" s="35">
        <f>C24-D24</f>
        <v>0</v>
      </c>
      <c r="J24" s="45">
        <v>1</v>
      </c>
      <c r="K24" s="47">
        <f>$F$10*$L$9</f>
        <v>1600</v>
      </c>
      <c r="L24" s="47">
        <f t="shared" ref="L24:AT31" si="1">$F$10*$L$9</f>
        <v>1600</v>
      </c>
      <c r="M24" s="47">
        <f t="shared" si="1"/>
        <v>1600</v>
      </c>
      <c r="N24" s="47">
        <f t="shared" si="1"/>
        <v>1600</v>
      </c>
      <c r="O24" s="47">
        <f t="shared" si="1"/>
        <v>1600</v>
      </c>
      <c r="P24" s="47">
        <f t="shared" si="1"/>
        <v>1600</v>
      </c>
      <c r="Q24" s="47">
        <f t="shared" si="1"/>
        <v>1600</v>
      </c>
      <c r="R24" s="47">
        <f t="shared" si="1"/>
        <v>1600</v>
      </c>
      <c r="S24" s="47">
        <f t="shared" si="1"/>
        <v>1600</v>
      </c>
      <c r="T24" s="47">
        <f t="shared" si="1"/>
        <v>1600</v>
      </c>
      <c r="U24" s="47">
        <f t="shared" si="1"/>
        <v>1600</v>
      </c>
      <c r="V24" s="47">
        <f t="shared" si="1"/>
        <v>1600</v>
      </c>
      <c r="W24" s="47">
        <f t="shared" si="1"/>
        <v>1600</v>
      </c>
      <c r="X24" s="47">
        <f t="shared" si="1"/>
        <v>1600</v>
      </c>
      <c r="Y24" s="47">
        <f t="shared" si="1"/>
        <v>1600</v>
      </c>
      <c r="Z24" s="47">
        <f t="shared" si="1"/>
        <v>1600</v>
      </c>
      <c r="AA24" s="47">
        <f t="shared" si="1"/>
        <v>1600</v>
      </c>
      <c r="AB24" s="47">
        <f t="shared" si="1"/>
        <v>1600</v>
      </c>
      <c r="AC24" s="47">
        <f t="shared" si="1"/>
        <v>1600</v>
      </c>
      <c r="AD24" s="47">
        <f t="shared" si="1"/>
        <v>1600</v>
      </c>
      <c r="AE24" s="47">
        <f t="shared" si="1"/>
        <v>1600</v>
      </c>
      <c r="AF24" s="47">
        <f t="shared" si="1"/>
        <v>1600</v>
      </c>
      <c r="AG24" s="47">
        <f t="shared" si="1"/>
        <v>1600</v>
      </c>
      <c r="AH24" s="47">
        <f t="shared" si="1"/>
        <v>1600</v>
      </c>
      <c r="AI24" s="47">
        <f t="shared" si="1"/>
        <v>1600</v>
      </c>
      <c r="AJ24" s="47">
        <f t="shared" si="1"/>
        <v>1600</v>
      </c>
      <c r="AK24" s="47">
        <f t="shared" si="1"/>
        <v>1600</v>
      </c>
      <c r="AL24" s="47">
        <f t="shared" si="1"/>
        <v>1600</v>
      </c>
      <c r="AM24" s="47">
        <f t="shared" si="1"/>
        <v>1600</v>
      </c>
      <c r="AN24" s="47">
        <f t="shared" si="1"/>
        <v>1600</v>
      </c>
      <c r="AO24" s="47">
        <f t="shared" si="1"/>
        <v>1600</v>
      </c>
      <c r="AP24" s="47">
        <f t="shared" si="1"/>
        <v>1600</v>
      </c>
      <c r="AQ24" s="47">
        <f t="shared" si="1"/>
        <v>1600</v>
      </c>
      <c r="AR24" s="47">
        <f t="shared" si="1"/>
        <v>1600</v>
      </c>
      <c r="AS24" s="47">
        <f t="shared" si="1"/>
        <v>1600</v>
      </c>
      <c r="AT24" s="48">
        <f t="shared" si="1"/>
        <v>1600</v>
      </c>
    </row>
    <row r="25" spans="2:46">
      <c r="B25" t="s">
        <v>29</v>
      </c>
      <c r="C25" s="35">
        <f>SUM(K60:V60)</f>
        <v>124800</v>
      </c>
      <c r="D25" s="35">
        <f t="shared" ref="D25:D29" si="2">C25*$F$11</f>
        <v>124800</v>
      </c>
      <c r="E25" s="35">
        <f t="shared" ref="E25:E29" si="3">C25-D25</f>
        <v>0</v>
      </c>
      <c r="J25" s="45">
        <f>J24+1</f>
        <v>2</v>
      </c>
      <c r="K25" s="46"/>
      <c r="L25" s="47">
        <f t="shared" si="1"/>
        <v>1600</v>
      </c>
      <c r="M25" s="47">
        <f t="shared" si="1"/>
        <v>1600</v>
      </c>
      <c r="N25" s="47">
        <f t="shared" si="1"/>
        <v>1600</v>
      </c>
      <c r="O25" s="47">
        <f t="shared" si="1"/>
        <v>1600</v>
      </c>
      <c r="P25" s="47">
        <f t="shared" si="1"/>
        <v>1600</v>
      </c>
      <c r="Q25" s="47">
        <f t="shared" si="1"/>
        <v>1600</v>
      </c>
      <c r="R25" s="47">
        <f t="shared" si="1"/>
        <v>1600</v>
      </c>
      <c r="S25" s="47">
        <f t="shared" si="1"/>
        <v>1600</v>
      </c>
      <c r="T25" s="47">
        <f t="shared" si="1"/>
        <v>1600</v>
      </c>
      <c r="U25" s="47">
        <f t="shared" si="1"/>
        <v>1600</v>
      </c>
      <c r="V25" s="47">
        <f t="shared" si="1"/>
        <v>1600</v>
      </c>
      <c r="W25" s="47">
        <f t="shared" si="1"/>
        <v>1600</v>
      </c>
      <c r="X25" s="47">
        <f t="shared" si="1"/>
        <v>1600</v>
      </c>
      <c r="Y25" s="47">
        <f t="shared" si="1"/>
        <v>1600</v>
      </c>
      <c r="Z25" s="47">
        <f t="shared" si="1"/>
        <v>1600</v>
      </c>
      <c r="AA25" s="47">
        <f t="shared" si="1"/>
        <v>1600</v>
      </c>
      <c r="AB25" s="47">
        <f t="shared" si="1"/>
        <v>1600</v>
      </c>
      <c r="AC25" s="47">
        <f t="shared" si="1"/>
        <v>1600</v>
      </c>
      <c r="AD25" s="47">
        <f t="shared" si="1"/>
        <v>1600</v>
      </c>
      <c r="AE25" s="47">
        <f t="shared" si="1"/>
        <v>1600</v>
      </c>
      <c r="AF25" s="47">
        <f t="shared" si="1"/>
        <v>1600</v>
      </c>
      <c r="AG25" s="47">
        <f t="shared" si="1"/>
        <v>1600</v>
      </c>
      <c r="AH25" s="47">
        <f t="shared" si="1"/>
        <v>1600</v>
      </c>
      <c r="AI25" s="47">
        <f t="shared" si="1"/>
        <v>1600</v>
      </c>
      <c r="AJ25" s="47">
        <f t="shared" si="1"/>
        <v>1600</v>
      </c>
      <c r="AK25" s="47">
        <f t="shared" si="1"/>
        <v>1600</v>
      </c>
      <c r="AL25" s="47">
        <f t="shared" si="1"/>
        <v>1600</v>
      </c>
      <c r="AM25" s="47">
        <f t="shared" si="1"/>
        <v>1600</v>
      </c>
      <c r="AN25" s="47">
        <f t="shared" si="1"/>
        <v>1600</v>
      </c>
      <c r="AO25" s="47">
        <f t="shared" si="1"/>
        <v>1600</v>
      </c>
      <c r="AP25" s="47">
        <f t="shared" si="1"/>
        <v>1600</v>
      </c>
      <c r="AQ25" s="47">
        <f t="shared" si="1"/>
        <v>1600</v>
      </c>
      <c r="AR25" s="47">
        <f t="shared" si="1"/>
        <v>1600</v>
      </c>
      <c r="AS25" s="47">
        <f t="shared" si="1"/>
        <v>1600</v>
      </c>
      <c r="AT25" s="48">
        <f t="shared" si="1"/>
        <v>1600</v>
      </c>
    </row>
    <row r="26" spans="2:46">
      <c r="B26" t="s">
        <v>30</v>
      </c>
      <c r="C26" s="35">
        <f>SUM(K60:AB60)</f>
        <v>273600</v>
      </c>
      <c r="D26" s="35">
        <f t="shared" si="2"/>
        <v>273600</v>
      </c>
      <c r="E26" s="35">
        <f t="shared" si="3"/>
        <v>0</v>
      </c>
      <c r="J26" s="45">
        <f t="shared" ref="J26:J59" si="4">J25+1</f>
        <v>3</v>
      </c>
      <c r="K26" s="46"/>
      <c r="L26" s="46"/>
      <c r="M26" s="47">
        <f t="shared" si="1"/>
        <v>1600</v>
      </c>
      <c r="N26" s="47">
        <f t="shared" si="1"/>
        <v>1600</v>
      </c>
      <c r="O26" s="47">
        <f t="shared" si="1"/>
        <v>1600</v>
      </c>
      <c r="P26" s="47">
        <f t="shared" si="1"/>
        <v>1600</v>
      </c>
      <c r="Q26" s="47">
        <f t="shared" si="1"/>
        <v>1600</v>
      </c>
      <c r="R26" s="47">
        <f t="shared" si="1"/>
        <v>1600</v>
      </c>
      <c r="S26" s="47">
        <f t="shared" si="1"/>
        <v>1600</v>
      </c>
      <c r="T26" s="47">
        <f t="shared" si="1"/>
        <v>1600</v>
      </c>
      <c r="U26" s="47">
        <f t="shared" si="1"/>
        <v>1600</v>
      </c>
      <c r="V26" s="47">
        <f t="shared" si="1"/>
        <v>1600</v>
      </c>
      <c r="W26" s="47">
        <f t="shared" si="1"/>
        <v>1600</v>
      </c>
      <c r="X26" s="47">
        <f t="shared" si="1"/>
        <v>1600</v>
      </c>
      <c r="Y26" s="47">
        <f t="shared" si="1"/>
        <v>1600</v>
      </c>
      <c r="Z26" s="47">
        <f t="shared" si="1"/>
        <v>1600</v>
      </c>
      <c r="AA26" s="47">
        <f t="shared" si="1"/>
        <v>1600</v>
      </c>
      <c r="AB26" s="47">
        <f t="shared" si="1"/>
        <v>1600</v>
      </c>
      <c r="AC26" s="47">
        <f t="shared" si="1"/>
        <v>1600</v>
      </c>
      <c r="AD26" s="47">
        <f t="shared" si="1"/>
        <v>1600</v>
      </c>
      <c r="AE26" s="47">
        <f t="shared" si="1"/>
        <v>1600</v>
      </c>
      <c r="AF26" s="47">
        <f t="shared" si="1"/>
        <v>1600</v>
      </c>
      <c r="AG26" s="47">
        <f t="shared" si="1"/>
        <v>1600</v>
      </c>
      <c r="AH26" s="47">
        <f t="shared" si="1"/>
        <v>1600</v>
      </c>
      <c r="AI26" s="47">
        <f t="shared" si="1"/>
        <v>1600</v>
      </c>
      <c r="AJ26" s="47">
        <f t="shared" si="1"/>
        <v>1600</v>
      </c>
      <c r="AK26" s="47">
        <f t="shared" si="1"/>
        <v>1600</v>
      </c>
      <c r="AL26" s="47">
        <f t="shared" si="1"/>
        <v>1600</v>
      </c>
      <c r="AM26" s="47">
        <f t="shared" si="1"/>
        <v>1600</v>
      </c>
      <c r="AN26" s="47">
        <f t="shared" si="1"/>
        <v>1600</v>
      </c>
      <c r="AO26" s="47">
        <f t="shared" si="1"/>
        <v>1600</v>
      </c>
      <c r="AP26" s="47">
        <f t="shared" si="1"/>
        <v>1600</v>
      </c>
      <c r="AQ26" s="47">
        <f t="shared" si="1"/>
        <v>1600</v>
      </c>
      <c r="AR26" s="47">
        <f t="shared" si="1"/>
        <v>1600</v>
      </c>
      <c r="AS26" s="47">
        <f t="shared" si="1"/>
        <v>1600</v>
      </c>
      <c r="AT26" s="48">
        <f t="shared" si="1"/>
        <v>1600</v>
      </c>
    </row>
    <row r="27" spans="2:46">
      <c r="B27" t="s">
        <v>31</v>
      </c>
      <c r="C27" s="35">
        <f>SUM(K60:AH60)</f>
        <v>480000</v>
      </c>
      <c r="D27" s="35">
        <f t="shared" si="2"/>
        <v>480000</v>
      </c>
      <c r="E27" s="35">
        <f t="shared" si="3"/>
        <v>0</v>
      </c>
      <c r="J27" s="45">
        <f t="shared" si="4"/>
        <v>4</v>
      </c>
      <c r="K27" s="46"/>
      <c r="L27" s="46"/>
      <c r="M27" s="46"/>
      <c r="N27" s="47">
        <f t="shared" si="1"/>
        <v>1600</v>
      </c>
      <c r="O27" s="47">
        <f t="shared" si="1"/>
        <v>1600</v>
      </c>
      <c r="P27" s="47">
        <f t="shared" si="1"/>
        <v>1600</v>
      </c>
      <c r="Q27" s="47">
        <f t="shared" si="1"/>
        <v>1600</v>
      </c>
      <c r="R27" s="47">
        <f t="shared" si="1"/>
        <v>1600</v>
      </c>
      <c r="S27" s="47">
        <f t="shared" si="1"/>
        <v>1600</v>
      </c>
      <c r="T27" s="47">
        <f t="shared" si="1"/>
        <v>1600</v>
      </c>
      <c r="U27" s="47">
        <f t="shared" si="1"/>
        <v>1600</v>
      </c>
      <c r="V27" s="47">
        <f t="shared" si="1"/>
        <v>1600</v>
      </c>
      <c r="W27" s="47">
        <f t="shared" si="1"/>
        <v>1600</v>
      </c>
      <c r="X27" s="47">
        <f>Z35</f>
        <v>1600</v>
      </c>
      <c r="Y27" s="47">
        <f t="shared" si="1"/>
        <v>1600</v>
      </c>
      <c r="Z27" s="47">
        <f t="shared" si="1"/>
        <v>1600</v>
      </c>
      <c r="AA27" s="47">
        <f t="shared" si="1"/>
        <v>1600</v>
      </c>
      <c r="AB27" s="47">
        <f t="shared" si="1"/>
        <v>1600</v>
      </c>
      <c r="AC27" s="47">
        <f t="shared" si="1"/>
        <v>1600</v>
      </c>
      <c r="AD27" s="47">
        <f t="shared" si="1"/>
        <v>1600</v>
      </c>
      <c r="AE27" s="47">
        <f t="shared" si="1"/>
        <v>1600</v>
      </c>
      <c r="AF27" s="47">
        <f t="shared" si="1"/>
        <v>1600</v>
      </c>
      <c r="AG27" s="47">
        <f t="shared" si="1"/>
        <v>1600</v>
      </c>
      <c r="AH27" s="47">
        <f t="shared" si="1"/>
        <v>1600</v>
      </c>
      <c r="AI27" s="47">
        <f t="shared" si="1"/>
        <v>1600</v>
      </c>
      <c r="AJ27" s="47">
        <f t="shared" si="1"/>
        <v>1600</v>
      </c>
      <c r="AK27" s="47">
        <f t="shared" si="1"/>
        <v>1600</v>
      </c>
      <c r="AL27" s="47">
        <f t="shared" si="1"/>
        <v>1600</v>
      </c>
      <c r="AM27" s="47">
        <f t="shared" si="1"/>
        <v>1600</v>
      </c>
      <c r="AN27" s="47">
        <f t="shared" si="1"/>
        <v>1600</v>
      </c>
      <c r="AO27" s="47">
        <f t="shared" si="1"/>
        <v>1600</v>
      </c>
      <c r="AP27" s="47">
        <f t="shared" si="1"/>
        <v>1600</v>
      </c>
      <c r="AQ27" s="47">
        <f t="shared" si="1"/>
        <v>1600</v>
      </c>
      <c r="AR27" s="47">
        <f t="shared" si="1"/>
        <v>1600</v>
      </c>
      <c r="AS27" s="47">
        <f t="shared" si="1"/>
        <v>1600</v>
      </c>
      <c r="AT27" s="48">
        <f t="shared" si="1"/>
        <v>1600</v>
      </c>
    </row>
    <row r="28" spans="2:46">
      <c r="B28" t="s">
        <v>32</v>
      </c>
      <c r="C28" s="35">
        <f>SUM(K60:AN60)</f>
        <v>744000</v>
      </c>
      <c r="D28" s="35">
        <f t="shared" si="2"/>
        <v>744000</v>
      </c>
      <c r="E28" s="35">
        <f t="shared" si="3"/>
        <v>0</v>
      </c>
      <c r="J28" s="45">
        <f t="shared" si="4"/>
        <v>5</v>
      </c>
      <c r="K28" s="46"/>
      <c r="L28" s="46"/>
      <c r="M28" s="46"/>
      <c r="N28" s="46"/>
      <c r="O28" s="47">
        <f t="shared" si="1"/>
        <v>1600</v>
      </c>
      <c r="P28" s="47">
        <f t="shared" si="1"/>
        <v>1600</v>
      </c>
      <c r="Q28" s="47">
        <f t="shared" si="1"/>
        <v>1600</v>
      </c>
      <c r="R28" s="47">
        <f t="shared" si="1"/>
        <v>1600</v>
      </c>
      <c r="S28" s="47">
        <f t="shared" si="1"/>
        <v>1600</v>
      </c>
      <c r="T28" s="47">
        <f t="shared" si="1"/>
        <v>1600</v>
      </c>
      <c r="U28" s="47">
        <f t="shared" si="1"/>
        <v>1600</v>
      </c>
      <c r="V28" s="47">
        <f t="shared" si="1"/>
        <v>1600</v>
      </c>
      <c r="W28" s="47">
        <f t="shared" si="1"/>
        <v>1600</v>
      </c>
      <c r="X28" s="47">
        <f t="shared" si="1"/>
        <v>1600</v>
      </c>
      <c r="Y28" s="47">
        <f t="shared" si="1"/>
        <v>1600</v>
      </c>
      <c r="Z28" s="47">
        <f t="shared" si="1"/>
        <v>1600</v>
      </c>
      <c r="AA28" s="47">
        <f t="shared" si="1"/>
        <v>1600</v>
      </c>
      <c r="AB28" s="47">
        <f t="shared" si="1"/>
        <v>1600</v>
      </c>
      <c r="AC28" s="47">
        <f t="shared" si="1"/>
        <v>1600</v>
      </c>
      <c r="AD28" s="47">
        <f t="shared" si="1"/>
        <v>1600</v>
      </c>
      <c r="AE28" s="47">
        <f t="shared" si="1"/>
        <v>1600</v>
      </c>
      <c r="AF28" s="47">
        <f t="shared" si="1"/>
        <v>1600</v>
      </c>
      <c r="AG28" s="47">
        <f t="shared" si="1"/>
        <v>1600</v>
      </c>
      <c r="AH28" s="47">
        <f t="shared" si="1"/>
        <v>1600</v>
      </c>
      <c r="AI28" s="47">
        <f t="shared" si="1"/>
        <v>1600</v>
      </c>
      <c r="AJ28" s="47">
        <f t="shared" si="1"/>
        <v>1600</v>
      </c>
      <c r="AK28" s="47">
        <f t="shared" si="1"/>
        <v>1600</v>
      </c>
      <c r="AL28" s="47">
        <f t="shared" si="1"/>
        <v>1600</v>
      </c>
      <c r="AM28" s="47">
        <f t="shared" si="1"/>
        <v>1600</v>
      </c>
      <c r="AN28" s="47">
        <f t="shared" si="1"/>
        <v>1600</v>
      </c>
      <c r="AO28" s="47">
        <f t="shared" si="1"/>
        <v>1600</v>
      </c>
      <c r="AP28" s="47">
        <f t="shared" si="1"/>
        <v>1600</v>
      </c>
      <c r="AQ28" s="47">
        <f t="shared" si="1"/>
        <v>1600</v>
      </c>
      <c r="AR28" s="47">
        <f t="shared" si="1"/>
        <v>1600</v>
      </c>
      <c r="AS28" s="47">
        <f t="shared" si="1"/>
        <v>1600</v>
      </c>
      <c r="AT28" s="48">
        <f t="shared" si="1"/>
        <v>1600</v>
      </c>
    </row>
    <row r="29" spans="2:46">
      <c r="B29" t="s">
        <v>33</v>
      </c>
      <c r="C29" s="35">
        <f>SUM(K60:AT60)</f>
        <v>1065600</v>
      </c>
      <c r="D29" s="35">
        <f t="shared" si="2"/>
        <v>1065600</v>
      </c>
      <c r="E29" s="35">
        <f t="shared" si="3"/>
        <v>0</v>
      </c>
      <c r="J29" s="45">
        <f t="shared" si="4"/>
        <v>6</v>
      </c>
      <c r="K29" s="46"/>
      <c r="L29" s="46"/>
      <c r="M29" s="46"/>
      <c r="N29" s="46"/>
      <c r="O29" s="46"/>
      <c r="P29" s="47">
        <f t="shared" si="1"/>
        <v>1600</v>
      </c>
      <c r="Q29" s="47">
        <f t="shared" si="1"/>
        <v>1600</v>
      </c>
      <c r="R29" s="47">
        <f t="shared" si="1"/>
        <v>1600</v>
      </c>
      <c r="S29" s="47">
        <f t="shared" si="1"/>
        <v>1600</v>
      </c>
      <c r="T29" s="47">
        <f t="shared" si="1"/>
        <v>1600</v>
      </c>
      <c r="U29" s="47">
        <f t="shared" si="1"/>
        <v>1600</v>
      </c>
      <c r="V29" s="47">
        <f t="shared" si="1"/>
        <v>1600</v>
      </c>
      <c r="W29" s="47">
        <f t="shared" si="1"/>
        <v>1600</v>
      </c>
      <c r="X29" s="47">
        <f t="shared" si="1"/>
        <v>1600</v>
      </c>
      <c r="Y29" s="47">
        <f t="shared" si="1"/>
        <v>1600</v>
      </c>
      <c r="Z29" s="47">
        <f t="shared" si="1"/>
        <v>1600</v>
      </c>
      <c r="AA29" s="47">
        <f t="shared" si="1"/>
        <v>1600</v>
      </c>
      <c r="AB29" s="47">
        <f t="shared" si="1"/>
        <v>1600</v>
      </c>
      <c r="AC29" s="47">
        <f t="shared" si="1"/>
        <v>1600</v>
      </c>
      <c r="AD29" s="47">
        <f t="shared" si="1"/>
        <v>1600</v>
      </c>
      <c r="AE29" s="47">
        <f t="shared" si="1"/>
        <v>1600</v>
      </c>
      <c r="AF29" s="47">
        <f t="shared" si="1"/>
        <v>1600</v>
      </c>
      <c r="AG29" s="47">
        <f t="shared" si="1"/>
        <v>1600</v>
      </c>
      <c r="AH29" s="47">
        <f t="shared" si="1"/>
        <v>1600</v>
      </c>
      <c r="AI29" s="47">
        <f t="shared" si="1"/>
        <v>1600</v>
      </c>
      <c r="AJ29" s="47">
        <f t="shared" si="1"/>
        <v>1600</v>
      </c>
      <c r="AK29" s="47">
        <f t="shared" si="1"/>
        <v>1600</v>
      </c>
      <c r="AL29" s="47">
        <f t="shared" si="1"/>
        <v>1600</v>
      </c>
      <c r="AM29" s="47">
        <f t="shared" si="1"/>
        <v>1600</v>
      </c>
      <c r="AN29" s="47">
        <f t="shared" si="1"/>
        <v>1600</v>
      </c>
      <c r="AO29" s="47">
        <f t="shared" si="1"/>
        <v>1600</v>
      </c>
      <c r="AP29" s="47">
        <f t="shared" si="1"/>
        <v>1600</v>
      </c>
      <c r="AQ29" s="47">
        <f t="shared" si="1"/>
        <v>1600</v>
      </c>
      <c r="AR29" s="47">
        <f t="shared" si="1"/>
        <v>1600</v>
      </c>
      <c r="AS29" s="47">
        <f t="shared" si="1"/>
        <v>1600</v>
      </c>
      <c r="AT29" s="48">
        <f t="shared" si="1"/>
        <v>1600</v>
      </c>
    </row>
    <row r="30" spans="2:46">
      <c r="B30" t="s">
        <v>44</v>
      </c>
      <c r="J30" s="45">
        <f t="shared" si="4"/>
        <v>7</v>
      </c>
      <c r="K30" s="46"/>
      <c r="L30" s="46"/>
      <c r="M30" s="46"/>
      <c r="N30" s="46"/>
      <c r="O30" s="46"/>
      <c r="P30" s="46"/>
      <c r="Q30" s="47">
        <f t="shared" si="1"/>
        <v>1600</v>
      </c>
      <c r="R30" s="47">
        <f t="shared" si="1"/>
        <v>1600</v>
      </c>
      <c r="S30" s="47">
        <f t="shared" si="1"/>
        <v>1600</v>
      </c>
      <c r="T30" s="47">
        <f t="shared" si="1"/>
        <v>1600</v>
      </c>
      <c r="U30" s="47">
        <f t="shared" si="1"/>
        <v>1600</v>
      </c>
      <c r="V30" s="47">
        <f t="shared" si="1"/>
        <v>1600</v>
      </c>
      <c r="W30" s="47">
        <f t="shared" si="1"/>
        <v>1600</v>
      </c>
      <c r="X30" s="47">
        <f t="shared" si="1"/>
        <v>1600</v>
      </c>
      <c r="Y30" s="47">
        <f t="shared" si="1"/>
        <v>1600</v>
      </c>
      <c r="Z30" s="47">
        <f t="shared" si="1"/>
        <v>1600</v>
      </c>
      <c r="AA30" s="47">
        <f t="shared" si="1"/>
        <v>1600</v>
      </c>
      <c r="AB30" s="47">
        <f t="shared" si="1"/>
        <v>1600</v>
      </c>
      <c r="AC30" s="47">
        <f t="shared" si="1"/>
        <v>1600</v>
      </c>
      <c r="AD30" s="47">
        <f t="shared" si="1"/>
        <v>1600</v>
      </c>
      <c r="AE30" s="47">
        <f t="shared" si="1"/>
        <v>1600</v>
      </c>
      <c r="AF30" s="47">
        <f t="shared" si="1"/>
        <v>1600</v>
      </c>
      <c r="AG30" s="47">
        <f t="shared" si="1"/>
        <v>1600</v>
      </c>
      <c r="AH30" s="47">
        <f t="shared" si="1"/>
        <v>1600</v>
      </c>
      <c r="AI30" s="47">
        <f t="shared" si="1"/>
        <v>1600</v>
      </c>
      <c r="AJ30" s="47">
        <f t="shared" si="1"/>
        <v>1600</v>
      </c>
      <c r="AK30" s="47">
        <f t="shared" si="1"/>
        <v>1600</v>
      </c>
      <c r="AL30" s="47">
        <f t="shared" si="1"/>
        <v>1600</v>
      </c>
      <c r="AM30" s="47">
        <f t="shared" si="1"/>
        <v>1600</v>
      </c>
      <c r="AN30" s="47">
        <f t="shared" si="1"/>
        <v>1600</v>
      </c>
      <c r="AO30" s="47">
        <f t="shared" si="1"/>
        <v>1600</v>
      </c>
      <c r="AP30" s="47">
        <f t="shared" si="1"/>
        <v>1600</v>
      </c>
      <c r="AQ30" s="47">
        <f t="shared" si="1"/>
        <v>1600</v>
      </c>
      <c r="AR30" s="47">
        <f t="shared" si="1"/>
        <v>1600</v>
      </c>
      <c r="AS30" s="47">
        <f t="shared" si="1"/>
        <v>1600</v>
      </c>
      <c r="AT30" s="48">
        <f t="shared" si="1"/>
        <v>1600</v>
      </c>
    </row>
    <row r="31" spans="2:46">
      <c r="J31" s="45">
        <f t="shared" si="4"/>
        <v>8</v>
      </c>
      <c r="K31" s="46"/>
      <c r="L31" s="46"/>
      <c r="M31" s="46"/>
      <c r="N31" s="46"/>
      <c r="O31" s="46"/>
      <c r="P31" s="46"/>
      <c r="Q31" s="46"/>
      <c r="R31" s="47">
        <f t="shared" si="1"/>
        <v>1600</v>
      </c>
      <c r="S31" s="47">
        <f t="shared" si="1"/>
        <v>1600</v>
      </c>
      <c r="T31" s="47">
        <f t="shared" si="1"/>
        <v>1600</v>
      </c>
      <c r="U31" s="47">
        <f t="shared" si="1"/>
        <v>1600</v>
      </c>
      <c r="V31" s="47">
        <f t="shared" si="1"/>
        <v>1600</v>
      </c>
      <c r="W31" s="47">
        <f t="shared" si="1"/>
        <v>1600</v>
      </c>
      <c r="X31" s="47">
        <f t="shared" si="1"/>
        <v>1600</v>
      </c>
      <c r="Y31" s="47">
        <f t="shared" si="1"/>
        <v>1600</v>
      </c>
      <c r="Z31" s="47">
        <f t="shared" si="1"/>
        <v>1600</v>
      </c>
      <c r="AA31" s="47">
        <f t="shared" si="1"/>
        <v>1600</v>
      </c>
      <c r="AB31" s="47">
        <f t="shared" si="1"/>
        <v>1600</v>
      </c>
      <c r="AC31" s="47">
        <f t="shared" si="1"/>
        <v>1600</v>
      </c>
      <c r="AD31" s="47">
        <f t="shared" si="1"/>
        <v>1600</v>
      </c>
      <c r="AE31" s="47">
        <f t="shared" si="1"/>
        <v>1600</v>
      </c>
      <c r="AF31" s="47">
        <f t="shared" si="1"/>
        <v>1600</v>
      </c>
      <c r="AG31" s="47">
        <f t="shared" si="1"/>
        <v>1600</v>
      </c>
      <c r="AH31" s="47">
        <f t="shared" si="1"/>
        <v>1600</v>
      </c>
      <c r="AI31" s="47">
        <f t="shared" si="1"/>
        <v>1600</v>
      </c>
      <c r="AJ31" s="47">
        <f t="shared" si="1"/>
        <v>1600</v>
      </c>
      <c r="AK31" s="47">
        <f t="shared" si="1"/>
        <v>1600</v>
      </c>
      <c r="AL31" s="47">
        <f t="shared" si="1"/>
        <v>1600</v>
      </c>
      <c r="AM31" s="47">
        <f t="shared" si="1"/>
        <v>1600</v>
      </c>
      <c r="AN31" s="47">
        <f t="shared" si="1"/>
        <v>1600</v>
      </c>
      <c r="AO31" s="47">
        <f t="shared" si="1"/>
        <v>1600</v>
      </c>
      <c r="AP31" s="47">
        <f t="shared" si="1"/>
        <v>1600</v>
      </c>
      <c r="AQ31" s="47">
        <f t="shared" si="1"/>
        <v>1600</v>
      </c>
      <c r="AR31" s="47">
        <f t="shared" ref="AR31:AT31" si="5">$F$10*$L$9</f>
        <v>1600</v>
      </c>
      <c r="AS31" s="47">
        <f t="shared" si="5"/>
        <v>1600</v>
      </c>
      <c r="AT31" s="48">
        <f t="shared" si="5"/>
        <v>1600</v>
      </c>
    </row>
    <row r="32" spans="2:46">
      <c r="J32" s="45">
        <f t="shared" si="4"/>
        <v>9</v>
      </c>
      <c r="K32" s="46"/>
      <c r="L32" s="46"/>
      <c r="M32" s="46"/>
      <c r="N32" s="46"/>
      <c r="O32" s="46"/>
      <c r="P32" s="46"/>
      <c r="Q32" s="46"/>
      <c r="R32" s="46"/>
      <c r="S32" s="47">
        <f t="shared" ref="S32:AT43" si="6">$F$10*$L$9</f>
        <v>1600</v>
      </c>
      <c r="T32" s="47">
        <f t="shared" si="6"/>
        <v>1600</v>
      </c>
      <c r="U32" s="47">
        <f t="shared" si="6"/>
        <v>1600</v>
      </c>
      <c r="V32" s="47">
        <f t="shared" si="6"/>
        <v>1600</v>
      </c>
      <c r="W32" s="47">
        <f t="shared" si="6"/>
        <v>1600</v>
      </c>
      <c r="X32" s="47">
        <f t="shared" si="6"/>
        <v>1600</v>
      </c>
      <c r="Y32" s="47">
        <f t="shared" si="6"/>
        <v>1600</v>
      </c>
      <c r="Z32" s="47">
        <f t="shared" si="6"/>
        <v>1600</v>
      </c>
      <c r="AA32" s="47">
        <f t="shared" si="6"/>
        <v>1600</v>
      </c>
      <c r="AB32" s="47">
        <f t="shared" si="6"/>
        <v>1600</v>
      </c>
      <c r="AC32" s="47">
        <f t="shared" si="6"/>
        <v>1600</v>
      </c>
      <c r="AD32" s="47">
        <f t="shared" si="6"/>
        <v>1600</v>
      </c>
      <c r="AE32" s="47">
        <f t="shared" si="6"/>
        <v>1600</v>
      </c>
      <c r="AF32" s="47">
        <f t="shared" si="6"/>
        <v>1600</v>
      </c>
      <c r="AG32" s="47">
        <f t="shared" si="6"/>
        <v>1600</v>
      </c>
      <c r="AH32" s="47">
        <f t="shared" si="6"/>
        <v>1600</v>
      </c>
      <c r="AI32" s="47">
        <f t="shared" si="6"/>
        <v>1600</v>
      </c>
      <c r="AJ32" s="47">
        <f t="shared" si="6"/>
        <v>1600</v>
      </c>
      <c r="AK32" s="47">
        <f t="shared" si="6"/>
        <v>1600</v>
      </c>
      <c r="AL32" s="47">
        <f t="shared" si="6"/>
        <v>1600</v>
      </c>
      <c r="AM32" s="47">
        <f t="shared" si="6"/>
        <v>1600</v>
      </c>
      <c r="AN32" s="47">
        <f t="shared" si="6"/>
        <v>1600</v>
      </c>
      <c r="AO32" s="47">
        <f t="shared" si="6"/>
        <v>1600</v>
      </c>
      <c r="AP32" s="47">
        <f t="shared" si="6"/>
        <v>1600</v>
      </c>
      <c r="AQ32" s="47">
        <f t="shared" si="6"/>
        <v>1600</v>
      </c>
      <c r="AR32" s="47">
        <f t="shared" si="6"/>
        <v>1600</v>
      </c>
      <c r="AS32" s="47">
        <f t="shared" si="6"/>
        <v>1600</v>
      </c>
      <c r="AT32" s="48">
        <f t="shared" si="6"/>
        <v>1600</v>
      </c>
    </row>
    <row r="33" spans="10:46">
      <c r="J33" s="45">
        <f t="shared" si="4"/>
        <v>10</v>
      </c>
      <c r="K33" s="46"/>
      <c r="L33" s="46"/>
      <c r="M33" s="46"/>
      <c r="N33" s="46"/>
      <c r="O33" s="46"/>
      <c r="P33" s="46"/>
      <c r="Q33" s="46"/>
      <c r="R33" s="46"/>
      <c r="S33" s="46"/>
      <c r="T33" s="47">
        <f t="shared" si="6"/>
        <v>1600</v>
      </c>
      <c r="U33" s="47">
        <f t="shared" si="6"/>
        <v>1600</v>
      </c>
      <c r="V33" s="47">
        <f t="shared" si="6"/>
        <v>1600</v>
      </c>
      <c r="W33" s="47">
        <f t="shared" si="6"/>
        <v>1600</v>
      </c>
      <c r="X33" s="47">
        <f t="shared" si="6"/>
        <v>1600</v>
      </c>
      <c r="Y33" s="47">
        <f t="shared" si="6"/>
        <v>1600</v>
      </c>
      <c r="Z33" s="47">
        <f t="shared" si="6"/>
        <v>1600</v>
      </c>
      <c r="AA33" s="47">
        <f t="shared" si="6"/>
        <v>1600</v>
      </c>
      <c r="AB33" s="47">
        <f t="shared" si="6"/>
        <v>1600</v>
      </c>
      <c r="AC33" s="47">
        <f t="shared" si="6"/>
        <v>1600</v>
      </c>
      <c r="AD33" s="47">
        <f t="shared" si="6"/>
        <v>1600</v>
      </c>
      <c r="AE33" s="47">
        <f t="shared" si="6"/>
        <v>1600</v>
      </c>
      <c r="AF33" s="47">
        <f t="shared" si="6"/>
        <v>1600</v>
      </c>
      <c r="AG33" s="47">
        <f t="shared" si="6"/>
        <v>1600</v>
      </c>
      <c r="AH33" s="47">
        <f t="shared" si="6"/>
        <v>1600</v>
      </c>
      <c r="AI33" s="47">
        <f t="shared" si="6"/>
        <v>1600</v>
      </c>
      <c r="AJ33" s="47">
        <f t="shared" si="6"/>
        <v>1600</v>
      </c>
      <c r="AK33" s="47">
        <f t="shared" si="6"/>
        <v>1600</v>
      </c>
      <c r="AL33" s="47">
        <f t="shared" si="6"/>
        <v>1600</v>
      </c>
      <c r="AM33" s="47">
        <f t="shared" si="6"/>
        <v>1600</v>
      </c>
      <c r="AN33" s="47">
        <f t="shared" si="6"/>
        <v>1600</v>
      </c>
      <c r="AO33" s="47">
        <f t="shared" si="6"/>
        <v>1600</v>
      </c>
      <c r="AP33" s="47">
        <f t="shared" si="6"/>
        <v>1600</v>
      </c>
      <c r="AQ33" s="47">
        <f t="shared" si="6"/>
        <v>1600</v>
      </c>
      <c r="AR33" s="47">
        <f t="shared" si="6"/>
        <v>1600</v>
      </c>
      <c r="AS33" s="47">
        <f t="shared" si="6"/>
        <v>1600</v>
      </c>
      <c r="AT33" s="48">
        <f t="shared" si="6"/>
        <v>1600</v>
      </c>
    </row>
    <row r="34" spans="10:46">
      <c r="J34" s="45">
        <f t="shared" si="4"/>
        <v>11</v>
      </c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7">
        <f t="shared" si="6"/>
        <v>1600</v>
      </c>
      <c r="V34" s="47">
        <f t="shared" si="6"/>
        <v>1600</v>
      </c>
      <c r="W34" s="47">
        <f t="shared" si="6"/>
        <v>1600</v>
      </c>
      <c r="X34" s="47">
        <f t="shared" si="6"/>
        <v>1600</v>
      </c>
      <c r="Y34" s="47">
        <f t="shared" si="6"/>
        <v>1600</v>
      </c>
      <c r="Z34" s="47">
        <f t="shared" si="6"/>
        <v>1600</v>
      </c>
      <c r="AA34" s="47">
        <f t="shared" si="6"/>
        <v>1600</v>
      </c>
      <c r="AB34" s="47">
        <f t="shared" si="6"/>
        <v>1600</v>
      </c>
      <c r="AC34" s="47">
        <f t="shared" si="6"/>
        <v>1600</v>
      </c>
      <c r="AD34" s="47">
        <f t="shared" si="6"/>
        <v>1600</v>
      </c>
      <c r="AE34" s="47">
        <f t="shared" si="6"/>
        <v>1600</v>
      </c>
      <c r="AF34" s="47">
        <f t="shared" si="6"/>
        <v>1600</v>
      </c>
      <c r="AG34" s="47">
        <f t="shared" si="6"/>
        <v>1600</v>
      </c>
      <c r="AH34" s="47">
        <f t="shared" si="6"/>
        <v>1600</v>
      </c>
      <c r="AI34" s="47">
        <f t="shared" si="6"/>
        <v>1600</v>
      </c>
      <c r="AJ34" s="47">
        <f t="shared" si="6"/>
        <v>1600</v>
      </c>
      <c r="AK34" s="47">
        <f t="shared" si="6"/>
        <v>1600</v>
      </c>
      <c r="AL34" s="47">
        <f t="shared" si="6"/>
        <v>1600</v>
      </c>
      <c r="AM34" s="47">
        <f t="shared" si="6"/>
        <v>1600</v>
      </c>
      <c r="AN34" s="47">
        <f t="shared" si="6"/>
        <v>1600</v>
      </c>
      <c r="AO34" s="47">
        <f t="shared" si="6"/>
        <v>1600</v>
      </c>
      <c r="AP34" s="47">
        <f t="shared" si="6"/>
        <v>1600</v>
      </c>
      <c r="AQ34" s="47">
        <f t="shared" si="6"/>
        <v>1600</v>
      </c>
      <c r="AR34" s="47">
        <f t="shared" si="6"/>
        <v>1600</v>
      </c>
      <c r="AS34" s="47">
        <f t="shared" si="6"/>
        <v>1600</v>
      </c>
      <c r="AT34" s="48">
        <f t="shared" si="6"/>
        <v>1600</v>
      </c>
    </row>
    <row r="35" spans="10:46">
      <c r="J35" s="45">
        <f t="shared" si="4"/>
        <v>12</v>
      </c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7">
        <f t="shared" si="6"/>
        <v>1600</v>
      </c>
      <c r="W35" s="47">
        <f t="shared" si="6"/>
        <v>1600</v>
      </c>
      <c r="X35" s="47">
        <f t="shared" si="6"/>
        <v>1600</v>
      </c>
      <c r="Y35" s="47">
        <f t="shared" si="6"/>
        <v>1600</v>
      </c>
      <c r="Z35" s="47">
        <f t="shared" si="6"/>
        <v>1600</v>
      </c>
      <c r="AA35" s="47">
        <f t="shared" si="6"/>
        <v>1600</v>
      </c>
      <c r="AB35" s="47">
        <f t="shared" si="6"/>
        <v>1600</v>
      </c>
      <c r="AC35" s="47">
        <f t="shared" si="6"/>
        <v>1600</v>
      </c>
      <c r="AD35" s="47">
        <f t="shared" si="6"/>
        <v>1600</v>
      </c>
      <c r="AE35" s="47">
        <f t="shared" si="6"/>
        <v>1600</v>
      </c>
      <c r="AF35" s="47">
        <f t="shared" si="6"/>
        <v>1600</v>
      </c>
      <c r="AG35" s="47">
        <f t="shared" si="6"/>
        <v>1600</v>
      </c>
      <c r="AH35" s="47">
        <f t="shared" si="6"/>
        <v>1600</v>
      </c>
      <c r="AI35" s="47">
        <f t="shared" si="6"/>
        <v>1600</v>
      </c>
      <c r="AJ35" s="47">
        <f t="shared" si="6"/>
        <v>1600</v>
      </c>
      <c r="AK35" s="47">
        <f t="shared" si="6"/>
        <v>1600</v>
      </c>
      <c r="AL35" s="47">
        <f t="shared" si="6"/>
        <v>1600</v>
      </c>
      <c r="AM35" s="47">
        <f t="shared" si="6"/>
        <v>1600</v>
      </c>
      <c r="AN35" s="47">
        <f t="shared" si="6"/>
        <v>1600</v>
      </c>
      <c r="AO35" s="47">
        <f t="shared" si="6"/>
        <v>1600</v>
      </c>
      <c r="AP35" s="47">
        <f t="shared" si="6"/>
        <v>1600</v>
      </c>
      <c r="AQ35" s="47">
        <f t="shared" si="6"/>
        <v>1600</v>
      </c>
      <c r="AR35" s="47">
        <f t="shared" si="6"/>
        <v>1600</v>
      </c>
      <c r="AS35" s="47">
        <f t="shared" si="6"/>
        <v>1600</v>
      </c>
      <c r="AT35" s="48">
        <f t="shared" si="6"/>
        <v>1600</v>
      </c>
    </row>
    <row r="36" spans="10:46">
      <c r="J36" s="45">
        <f t="shared" si="4"/>
        <v>13</v>
      </c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7">
        <f t="shared" si="6"/>
        <v>1600</v>
      </c>
      <c r="X36" s="47">
        <f t="shared" si="6"/>
        <v>1600</v>
      </c>
      <c r="Y36" s="47">
        <f t="shared" si="6"/>
        <v>1600</v>
      </c>
      <c r="Z36" s="47">
        <f t="shared" si="6"/>
        <v>1600</v>
      </c>
      <c r="AA36" s="47">
        <f t="shared" si="6"/>
        <v>1600</v>
      </c>
      <c r="AB36" s="47">
        <f t="shared" si="6"/>
        <v>1600</v>
      </c>
      <c r="AC36" s="47">
        <f t="shared" si="6"/>
        <v>1600</v>
      </c>
      <c r="AD36" s="47">
        <f t="shared" si="6"/>
        <v>1600</v>
      </c>
      <c r="AE36" s="47">
        <f t="shared" si="6"/>
        <v>1600</v>
      </c>
      <c r="AF36" s="47">
        <f t="shared" si="6"/>
        <v>1600</v>
      </c>
      <c r="AG36" s="47">
        <f t="shared" si="6"/>
        <v>1600</v>
      </c>
      <c r="AH36" s="47">
        <f t="shared" si="6"/>
        <v>1600</v>
      </c>
      <c r="AI36" s="47">
        <f t="shared" si="6"/>
        <v>1600</v>
      </c>
      <c r="AJ36" s="47">
        <f t="shared" si="6"/>
        <v>1600</v>
      </c>
      <c r="AK36" s="47">
        <f t="shared" si="6"/>
        <v>1600</v>
      </c>
      <c r="AL36" s="47">
        <f t="shared" si="6"/>
        <v>1600</v>
      </c>
      <c r="AM36" s="47">
        <f t="shared" si="6"/>
        <v>1600</v>
      </c>
      <c r="AN36" s="47">
        <f t="shared" si="6"/>
        <v>1600</v>
      </c>
      <c r="AO36" s="47">
        <f t="shared" si="6"/>
        <v>1600</v>
      </c>
      <c r="AP36" s="47">
        <f t="shared" si="6"/>
        <v>1600</v>
      </c>
      <c r="AQ36" s="47">
        <f t="shared" si="6"/>
        <v>1600</v>
      </c>
      <c r="AR36" s="47">
        <f t="shared" si="6"/>
        <v>1600</v>
      </c>
      <c r="AS36" s="47">
        <f t="shared" si="6"/>
        <v>1600</v>
      </c>
      <c r="AT36" s="48">
        <f t="shared" si="6"/>
        <v>1600</v>
      </c>
    </row>
    <row r="37" spans="10:46">
      <c r="J37" s="45">
        <f t="shared" si="4"/>
        <v>14</v>
      </c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7">
        <f t="shared" si="6"/>
        <v>1600</v>
      </c>
      <c r="Y37" s="47">
        <f t="shared" si="6"/>
        <v>1600</v>
      </c>
      <c r="Z37" s="47">
        <f t="shared" si="6"/>
        <v>1600</v>
      </c>
      <c r="AA37" s="47">
        <f t="shared" si="6"/>
        <v>1600</v>
      </c>
      <c r="AB37" s="47">
        <f t="shared" si="6"/>
        <v>1600</v>
      </c>
      <c r="AC37" s="47">
        <f t="shared" si="6"/>
        <v>1600</v>
      </c>
      <c r="AD37" s="47">
        <f t="shared" si="6"/>
        <v>1600</v>
      </c>
      <c r="AE37" s="47">
        <f t="shared" si="6"/>
        <v>1600</v>
      </c>
      <c r="AF37" s="47">
        <f t="shared" si="6"/>
        <v>1600</v>
      </c>
      <c r="AG37" s="47">
        <f t="shared" si="6"/>
        <v>1600</v>
      </c>
      <c r="AH37" s="47">
        <f t="shared" si="6"/>
        <v>1600</v>
      </c>
      <c r="AI37" s="47">
        <f t="shared" si="6"/>
        <v>1600</v>
      </c>
      <c r="AJ37" s="47">
        <f t="shared" si="6"/>
        <v>1600</v>
      </c>
      <c r="AK37" s="47">
        <f t="shared" si="6"/>
        <v>1600</v>
      </c>
      <c r="AL37" s="47">
        <f t="shared" si="6"/>
        <v>1600</v>
      </c>
      <c r="AM37" s="47">
        <f t="shared" si="6"/>
        <v>1600</v>
      </c>
      <c r="AN37" s="47">
        <f t="shared" si="6"/>
        <v>1600</v>
      </c>
      <c r="AO37" s="47">
        <f t="shared" si="6"/>
        <v>1600</v>
      </c>
      <c r="AP37" s="47">
        <f t="shared" si="6"/>
        <v>1600</v>
      </c>
      <c r="AQ37" s="47">
        <f t="shared" si="6"/>
        <v>1600</v>
      </c>
      <c r="AR37" s="47">
        <f t="shared" si="6"/>
        <v>1600</v>
      </c>
      <c r="AS37" s="47">
        <f t="shared" si="6"/>
        <v>1600</v>
      </c>
      <c r="AT37" s="48">
        <f t="shared" si="6"/>
        <v>1600</v>
      </c>
    </row>
    <row r="38" spans="10:46">
      <c r="J38" s="45">
        <f t="shared" si="4"/>
        <v>15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7">
        <f t="shared" si="6"/>
        <v>1600</v>
      </c>
      <c r="Z38" s="47">
        <f t="shared" si="6"/>
        <v>1600</v>
      </c>
      <c r="AA38" s="47">
        <f t="shared" si="6"/>
        <v>1600</v>
      </c>
      <c r="AB38" s="47">
        <f t="shared" si="6"/>
        <v>1600</v>
      </c>
      <c r="AC38" s="47">
        <f t="shared" si="6"/>
        <v>1600</v>
      </c>
      <c r="AD38" s="47">
        <f t="shared" si="6"/>
        <v>1600</v>
      </c>
      <c r="AE38" s="47">
        <f t="shared" si="6"/>
        <v>1600</v>
      </c>
      <c r="AF38" s="47">
        <f t="shared" si="6"/>
        <v>1600</v>
      </c>
      <c r="AG38" s="47">
        <f t="shared" si="6"/>
        <v>1600</v>
      </c>
      <c r="AH38" s="47">
        <f t="shared" si="6"/>
        <v>1600</v>
      </c>
      <c r="AI38" s="47">
        <f t="shared" si="6"/>
        <v>1600</v>
      </c>
      <c r="AJ38" s="47">
        <f t="shared" si="6"/>
        <v>1600</v>
      </c>
      <c r="AK38" s="47">
        <f t="shared" si="6"/>
        <v>1600</v>
      </c>
      <c r="AL38" s="47">
        <f t="shared" si="6"/>
        <v>1600</v>
      </c>
      <c r="AM38" s="47">
        <f t="shared" si="6"/>
        <v>1600</v>
      </c>
      <c r="AN38" s="47">
        <f t="shared" si="6"/>
        <v>1600</v>
      </c>
      <c r="AO38" s="47">
        <f t="shared" si="6"/>
        <v>1600</v>
      </c>
      <c r="AP38" s="47">
        <f t="shared" si="6"/>
        <v>1600</v>
      </c>
      <c r="AQ38" s="47">
        <f t="shared" si="6"/>
        <v>1600</v>
      </c>
      <c r="AR38" s="47">
        <f t="shared" si="6"/>
        <v>1600</v>
      </c>
      <c r="AS38" s="47">
        <f t="shared" si="6"/>
        <v>1600</v>
      </c>
      <c r="AT38" s="48">
        <f t="shared" si="6"/>
        <v>1600</v>
      </c>
    </row>
    <row r="39" spans="10:46">
      <c r="J39" s="45">
        <f t="shared" si="4"/>
        <v>16</v>
      </c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7">
        <f t="shared" si="6"/>
        <v>1600</v>
      </c>
      <c r="AA39" s="47">
        <f t="shared" si="6"/>
        <v>1600</v>
      </c>
      <c r="AB39" s="47">
        <f t="shared" si="6"/>
        <v>1600</v>
      </c>
      <c r="AC39" s="47">
        <f t="shared" si="6"/>
        <v>1600</v>
      </c>
      <c r="AD39" s="47">
        <f t="shared" si="6"/>
        <v>1600</v>
      </c>
      <c r="AE39" s="47">
        <f t="shared" si="6"/>
        <v>1600</v>
      </c>
      <c r="AF39" s="47">
        <f t="shared" si="6"/>
        <v>1600</v>
      </c>
      <c r="AG39" s="47">
        <f t="shared" si="6"/>
        <v>1600</v>
      </c>
      <c r="AH39" s="47">
        <f t="shared" si="6"/>
        <v>1600</v>
      </c>
      <c r="AI39" s="47">
        <f t="shared" si="6"/>
        <v>1600</v>
      </c>
      <c r="AJ39" s="47">
        <f t="shared" si="6"/>
        <v>1600</v>
      </c>
      <c r="AK39" s="47">
        <f t="shared" si="6"/>
        <v>1600</v>
      </c>
      <c r="AL39" s="47">
        <f t="shared" si="6"/>
        <v>1600</v>
      </c>
      <c r="AM39" s="47">
        <f t="shared" si="6"/>
        <v>1600</v>
      </c>
      <c r="AN39" s="47">
        <f t="shared" si="6"/>
        <v>1600</v>
      </c>
      <c r="AO39" s="47">
        <f t="shared" si="6"/>
        <v>1600</v>
      </c>
      <c r="AP39" s="47">
        <f t="shared" si="6"/>
        <v>1600</v>
      </c>
      <c r="AQ39" s="47">
        <f t="shared" si="6"/>
        <v>1600</v>
      </c>
      <c r="AR39" s="47">
        <f t="shared" si="6"/>
        <v>1600</v>
      </c>
      <c r="AS39" s="47">
        <f t="shared" si="6"/>
        <v>1600</v>
      </c>
      <c r="AT39" s="48">
        <f t="shared" si="6"/>
        <v>1600</v>
      </c>
    </row>
    <row r="40" spans="10:46">
      <c r="J40" s="45">
        <f t="shared" si="4"/>
        <v>17</v>
      </c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7">
        <f t="shared" si="6"/>
        <v>1600</v>
      </c>
      <c r="AB40" s="47">
        <f t="shared" si="6"/>
        <v>1600</v>
      </c>
      <c r="AC40" s="47">
        <f t="shared" si="6"/>
        <v>1600</v>
      </c>
      <c r="AD40" s="47">
        <f t="shared" si="6"/>
        <v>1600</v>
      </c>
      <c r="AE40" s="47">
        <f t="shared" si="6"/>
        <v>1600</v>
      </c>
      <c r="AF40" s="47">
        <f t="shared" si="6"/>
        <v>1600</v>
      </c>
      <c r="AG40" s="47">
        <f t="shared" si="6"/>
        <v>1600</v>
      </c>
      <c r="AH40" s="47">
        <f t="shared" si="6"/>
        <v>1600</v>
      </c>
      <c r="AI40" s="47">
        <f t="shared" si="6"/>
        <v>1600</v>
      </c>
      <c r="AJ40" s="47">
        <f t="shared" si="6"/>
        <v>1600</v>
      </c>
      <c r="AK40" s="47">
        <f t="shared" si="6"/>
        <v>1600</v>
      </c>
      <c r="AL40" s="47">
        <f t="shared" si="6"/>
        <v>1600</v>
      </c>
      <c r="AM40" s="47">
        <f t="shared" si="6"/>
        <v>1600</v>
      </c>
      <c r="AN40" s="47">
        <f t="shared" si="6"/>
        <v>1600</v>
      </c>
      <c r="AO40" s="47">
        <f t="shared" si="6"/>
        <v>1600</v>
      </c>
      <c r="AP40" s="47">
        <f t="shared" si="6"/>
        <v>1600</v>
      </c>
      <c r="AQ40" s="47">
        <f t="shared" si="6"/>
        <v>1600</v>
      </c>
      <c r="AR40" s="47">
        <f t="shared" si="6"/>
        <v>1600</v>
      </c>
      <c r="AS40" s="47">
        <f t="shared" si="6"/>
        <v>1600</v>
      </c>
      <c r="AT40" s="48">
        <f t="shared" si="6"/>
        <v>1600</v>
      </c>
    </row>
    <row r="41" spans="10:46">
      <c r="J41" s="45">
        <f t="shared" si="4"/>
        <v>18</v>
      </c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7">
        <f t="shared" si="6"/>
        <v>1600</v>
      </c>
      <c r="AC41" s="47">
        <f t="shared" si="6"/>
        <v>1600</v>
      </c>
      <c r="AD41" s="47">
        <f t="shared" si="6"/>
        <v>1600</v>
      </c>
      <c r="AE41" s="47">
        <f t="shared" si="6"/>
        <v>1600</v>
      </c>
      <c r="AF41" s="47">
        <f t="shared" si="6"/>
        <v>1600</v>
      </c>
      <c r="AG41" s="47">
        <f t="shared" si="6"/>
        <v>1600</v>
      </c>
      <c r="AH41" s="47">
        <f t="shared" si="6"/>
        <v>1600</v>
      </c>
      <c r="AI41" s="47">
        <f t="shared" si="6"/>
        <v>1600</v>
      </c>
      <c r="AJ41" s="47">
        <f t="shared" si="6"/>
        <v>1600</v>
      </c>
      <c r="AK41" s="47">
        <f t="shared" si="6"/>
        <v>1600</v>
      </c>
      <c r="AL41" s="47">
        <f t="shared" si="6"/>
        <v>1600</v>
      </c>
      <c r="AM41" s="47">
        <f t="shared" si="6"/>
        <v>1600</v>
      </c>
      <c r="AN41" s="47">
        <f t="shared" si="6"/>
        <v>1600</v>
      </c>
      <c r="AO41" s="47">
        <f t="shared" si="6"/>
        <v>1600</v>
      </c>
      <c r="AP41" s="47">
        <f t="shared" si="6"/>
        <v>1600</v>
      </c>
      <c r="AQ41" s="47">
        <f t="shared" si="6"/>
        <v>1600</v>
      </c>
      <c r="AR41" s="47">
        <f t="shared" si="6"/>
        <v>1600</v>
      </c>
      <c r="AS41" s="47">
        <f t="shared" si="6"/>
        <v>1600</v>
      </c>
      <c r="AT41" s="48">
        <f t="shared" si="6"/>
        <v>1600</v>
      </c>
    </row>
    <row r="42" spans="10:46">
      <c r="J42" s="45">
        <f t="shared" si="4"/>
        <v>19</v>
      </c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7">
        <f t="shared" si="6"/>
        <v>1600</v>
      </c>
      <c r="AD42" s="47">
        <f t="shared" si="6"/>
        <v>1600</v>
      </c>
      <c r="AE42" s="47">
        <f t="shared" si="6"/>
        <v>1600</v>
      </c>
      <c r="AF42" s="47">
        <f t="shared" si="6"/>
        <v>1600</v>
      </c>
      <c r="AG42" s="47">
        <f t="shared" si="6"/>
        <v>1600</v>
      </c>
      <c r="AH42" s="47">
        <f t="shared" si="6"/>
        <v>1600</v>
      </c>
      <c r="AI42" s="47">
        <f t="shared" si="6"/>
        <v>1600</v>
      </c>
      <c r="AJ42" s="47">
        <f t="shared" si="6"/>
        <v>1600</v>
      </c>
      <c r="AK42" s="47">
        <f t="shared" si="6"/>
        <v>1600</v>
      </c>
      <c r="AL42" s="47">
        <f t="shared" si="6"/>
        <v>1600</v>
      </c>
      <c r="AM42" s="47">
        <f t="shared" si="6"/>
        <v>1600</v>
      </c>
      <c r="AN42" s="47">
        <f t="shared" si="6"/>
        <v>1600</v>
      </c>
      <c r="AO42" s="47">
        <f t="shared" si="6"/>
        <v>1600</v>
      </c>
      <c r="AP42" s="47">
        <f t="shared" si="6"/>
        <v>1600</v>
      </c>
      <c r="AQ42" s="47">
        <f t="shared" si="6"/>
        <v>1600</v>
      </c>
      <c r="AR42" s="47">
        <f t="shared" si="6"/>
        <v>1600</v>
      </c>
      <c r="AS42" s="47">
        <f t="shared" si="6"/>
        <v>1600</v>
      </c>
      <c r="AT42" s="48">
        <f t="shared" si="6"/>
        <v>1600</v>
      </c>
    </row>
    <row r="43" spans="10:46">
      <c r="J43" s="45">
        <f t="shared" si="4"/>
        <v>20</v>
      </c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7">
        <f t="shared" si="6"/>
        <v>1600</v>
      </c>
      <c r="AE43" s="47">
        <f t="shared" si="6"/>
        <v>1600</v>
      </c>
      <c r="AF43" s="47">
        <f t="shared" ref="AF43:AT58" si="7">$F$10*$L$9</f>
        <v>1600</v>
      </c>
      <c r="AG43" s="47">
        <f t="shared" si="7"/>
        <v>1600</v>
      </c>
      <c r="AH43" s="47">
        <f t="shared" si="7"/>
        <v>1600</v>
      </c>
      <c r="AI43" s="47">
        <f t="shared" si="7"/>
        <v>1600</v>
      </c>
      <c r="AJ43" s="47">
        <f t="shared" si="7"/>
        <v>1600</v>
      </c>
      <c r="AK43" s="47">
        <f t="shared" si="7"/>
        <v>1600</v>
      </c>
      <c r="AL43" s="47">
        <f t="shared" si="7"/>
        <v>1600</v>
      </c>
      <c r="AM43" s="47">
        <f t="shared" si="7"/>
        <v>1600</v>
      </c>
      <c r="AN43" s="47">
        <f t="shared" si="7"/>
        <v>1600</v>
      </c>
      <c r="AO43" s="47">
        <f t="shared" si="7"/>
        <v>1600</v>
      </c>
      <c r="AP43" s="47">
        <f t="shared" si="7"/>
        <v>1600</v>
      </c>
      <c r="AQ43" s="47">
        <f t="shared" si="7"/>
        <v>1600</v>
      </c>
      <c r="AR43" s="47">
        <f t="shared" si="7"/>
        <v>1600</v>
      </c>
      <c r="AS43" s="47">
        <f t="shared" si="7"/>
        <v>1600</v>
      </c>
      <c r="AT43" s="48">
        <f t="shared" si="7"/>
        <v>1600</v>
      </c>
    </row>
    <row r="44" spans="10:46">
      <c r="J44" s="45">
        <f t="shared" si="4"/>
        <v>21</v>
      </c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7">
        <f t="shared" ref="AE44:AT59" si="8">$F$10*$L$9</f>
        <v>1600</v>
      </c>
      <c r="AF44" s="47">
        <f t="shared" si="7"/>
        <v>1600</v>
      </c>
      <c r="AG44" s="47">
        <f t="shared" si="7"/>
        <v>1600</v>
      </c>
      <c r="AH44" s="47">
        <f t="shared" si="7"/>
        <v>1600</v>
      </c>
      <c r="AI44" s="47">
        <f t="shared" si="7"/>
        <v>1600</v>
      </c>
      <c r="AJ44" s="47">
        <f t="shared" si="7"/>
        <v>1600</v>
      </c>
      <c r="AK44" s="47">
        <f t="shared" si="7"/>
        <v>1600</v>
      </c>
      <c r="AL44" s="47">
        <f t="shared" si="7"/>
        <v>1600</v>
      </c>
      <c r="AM44" s="47">
        <f t="shared" si="7"/>
        <v>1600</v>
      </c>
      <c r="AN44" s="47">
        <f t="shared" si="7"/>
        <v>1600</v>
      </c>
      <c r="AO44" s="47">
        <f t="shared" si="7"/>
        <v>1600</v>
      </c>
      <c r="AP44" s="47">
        <f t="shared" si="7"/>
        <v>1600</v>
      </c>
      <c r="AQ44" s="47">
        <f t="shared" si="7"/>
        <v>1600</v>
      </c>
      <c r="AR44" s="47">
        <f t="shared" si="7"/>
        <v>1600</v>
      </c>
      <c r="AS44" s="47">
        <f t="shared" si="7"/>
        <v>1600</v>
      </c>
      <c r="AT44" s="48">
        <f t="shared" si="7"/>
        <v>1600</v>
      </c>
    </row>
    <row r="45" spans="10:46">
      <c r="J45" s="45">
        <f t="shared" si="4"/>
        <v>22</v>
      </c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7">
        <f t="shared" si="8"/>
        <v>1600</v>
      </c>
      <c r="AG45" s="47">
        <f t="shared" si="7"/>
        <v>1600</v>
      </c>
      <c r="AH45" s="47">
        <f t="shared" si="7"/>
        <v>1600</v>
      </c>
      <c r="AI45" s="47">
        <f t="shared" si="7"/>
        <v>1600</v>
      </c>
      <c r="AJ45" s="47">
        <f t="shared" si="7"/>
        <v>1600</v>
      </c>
      <c r="AK45" s="47">
        <f t="shared" si="7"/>
        <v>1600</v>
      </c>
      <c r="AL45" s="47">
        <f t="shared" si="7"/>
        <v>1600</v>
      </c>
      <c r="AM45" s="47">
        <f t="shared" si="7"/>
        <v>1600</v>
      </c>
      <c r="AN45" s="47">
        <f t="shared" si="7"/>
        <v>1600</v>
      </c>
      <c r="AO45" s="47">
        <f t="shared" si="7"/>
        <v>1600</v>
      </c>
      <c r="AP45" s="47">
        <f t="shared" si="7"/>
        <v>1600</v>
      </c>
      <c r="AQ45" s="47">
        <f t="shared" si="7"/>
        <v>1600</v>
      </c>
      <c r="AR45" s="47">
        <f t="shared" si="7"/>
        <v>1600</v>
      </c>
      <c r="AS45" s="47">
        <f t="shared" si="7"/>
        <v>1600</v>
      </c>
      <c r="AT45" s="48">
        <f t="shared" si="7"/>
        <v>1600</v>
      </c>
    </row>
    <row r="46" spans="10:46">
      <c r="J46" s="45">
        <f t="shared" si="4"/>
        <v>23</v>
      </c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7">
        <f t="shared" si="8"/>
        <v>1600</v>
      </c>
      <c r="AH46" s="47">
        <f t="shared" si="7"/>
        <v>1600</v>
      </c>
      <c r="AI46" s="47">
        <f t="shared" si="7"/>
        <v>1600</v>
      </c>
      <c r="AJ46" s="47">
        <f t="shared" si="7"/>
        <v>1600</v>
      </c>
      <c r="AK46" s="47">
        <f t="shared" si="7"/>
        <v>1600</v>
      </c>
      <c r="AL46" s="47">
        <f t="shared" si="7"/>
        <v>1600</v>
      </c>
      <c r="AM46" s="47">
        <f t="shared" si="7"/>
        <v>1600</v>
      </c>
      <c r="AN46" s="47">
        <f t="shared" si="7"/>
        <v>1600</v>
      </c>
      <c r="AO46" s="47">
        <f t="shared" si="7"/>
        <v>1600</v>
      </c>
      <c r="AP46" s="47">
        <f t="shared" si="7"/>
        <v>1600</v>
      </c>
      <c r="AQ46" s="47">
        <f t="shared" si="7"/>
        <v>1600</v>
      </c>
      <c r="AR46" s="47">
        <f t="shared" si="7"/>
        <v>1600</v>
      </c>
      <c r="AS46" s="47">
        <f t="shared" si="7"/>
        <v>1600</v>
      </c>
      <c r="AT46" s="48">
        <f t="shared" si="7"/>
        <v>1600</v>
      </c>
    </row>
    <row r="47" spans="10:46">
      <c r="J47" s="45">
        <f t="shared" si="4"/>
        <v>24</v>
      </c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7">
        <f t="shared" si="8"/>
        <v>1600</v>
      </c>
      <c r="AI47" s="47">
        <f t="shared" si="7"/>
        <v>1600</v>
      </c>
      <c r="AJ47" s="47">
        <f t="shared" si="7"/>
        <v>1600</v>
      </c>
      <c r="AK47" s="47">
        <f t="shared" si="7"/>
        <v>1600</v>
      </c>
      <c r="AL47" s="47">
        <f t="shared" si="7"/>
        <v>1600</v>
      </c>
      <c r="AM47" s="47">
        <f t="shared" si="7"/>
        <v>1600</v>
      </c>
      <c r="AN47" s="47">
        <f t="shared" si="7"/>
        <v>1600</v>
      </c>
      <c r="AO47" s="47">
        <f t="shared" si="7"/>
        <v>1600</v>
      </c>
      <c r="AP47" s="47">
        <f t="shared" si="7"/>
        <v>1600</v>
      </c>
      <c r="AQ47" s="47">
        <f t="shared" si="7"/>
        <v>1600</v>
      </c>
      <c r="AR47" s="47">
        <f t="shared" si="7"/>
        <v>1600</v>
      </c>
      <c r="AS47" s="47">
        <f t="shared" si="7"/>
        <v>1600</v>
      </c>
      <c r="AT47" s="48">
        <f t="shared" si="7"/>
        <v>1600</v>
      </c>
    </row>
    <row r="48" spans="10:46">
      <c r="J48" s="45">
        <f t="shared" si="4"/>
        <v>25</v>
      </c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7">
        <f t="shared" si="8"/>
        <v>1600</v>
      </c>
      <c r="AJ48" s="47">
        <f t="shared" si="7"/>
        <v>1600</v>
      </c>
      <c r="AK48" s="47">
        <f t="shared" si="7"/>
        <v>1600</v>
      </c>
      <c r="AL48" s="47">
        <f t="shared" si="7"/>
        <v>1600</v>
      </c>
      <c r="AM48" s="47">
        <f t="shared" si="7"/>
        <v>1600</v>
      </c>
      <c r="AN48" s="47">
        <f t="shared" si="7"/>
        <v>1600</v>
      </c>
      <c r="AO48" s="47">
        <f t="shared" si="7"/>
        <v>1600</v>
      </c>
      <c r="AP48" s="47">
        <f t="shared" si="7"/>
        <v>1600</v>
      </c>
      <c r="AQ48" s="47">
        <f t="shared" si="7"/>
        <v>1600</v>
      </c>
      <c r="AR48" s="47">
        <f t="shared" si="7"/>
        <v>1600</v>
      </c>
      <c r="AS48" s="47">
        <f t="shared" si="7"/>
        <v>1600</v>
      </c>
      <c r="AT48" s="48">
        <f t="shared" si="7"/>
        <v>1600</v>
      </c>
    </row>
    <row r="49" spans="10:46">
      <c r="J49" s="45">
        <f t="shared" si="4"/>
        <v>26</v>
      </c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7">
        <f t="shared" si="8"/>
        <v>1600</v>
      </c>
      <c r="AK49" s="47">
        <f t="shared" si="7"/>
        <v>1600</v>
      </c>
      <c r="AL49" s="47">
        <f t="shared" si="7"/>
        <v>1600</v>
      </c>
      <c r="AM49" s="47">
        <f t="shared" si="7"/>
        <v>1600</v>
      </c>
      <c r="AN49" s="47">
        <f t="shared" si="7"/>
        <v>1600</v>
      </c>
      <c r="AO49" s="47">
        <f t="shared" si="7"/>
        <v>1600</v>
      </c>
      <c r="AP49" s="47">
        <f t="shared" si="7"/>
        <v>1600</v>
      </c>
      <c r="AQ49" s="47">
        <f t="shared" si="7"/>
        <v>1600</v>
      </c>
      <c r="AR49" s="47">
        <f t="shared" si="7"/>
        <v>1600</v>
      </c>
      <c r="AS49" s="47">
        <f t="shared" si="7"/>
        <v>1600</v>
      </c>
      <c r="AT49" s="48">
        <f t="shared" si="7"/>
        <v>1600</v>
      </c>
    </row>
    <row r="50" spans="10:46">
      <c r="J50" s="45">
        <f t="shared" si="4"/>
        <v>27</v>
      </c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7">
        <f t="shared" si="8"/>
        <v>1600</v>
      </c>
      <c r="AL50" s="47">
        <f t="shared" si="7"/>
        <v>1600</v>
      </c>
      <c r="AM50" s="47">
        <f t="shared" si="7"/>
        <v>1600</v>
      </c>
      <c r="AN50" s="47">
        <f t="shared" si="7"/>
        <v>1600</v>
      </c>
      <c r="AO50" s="47">
        <f t="shared" si="7"/>
        <v>1600</v>
      </c>
      <c r="AP50" s="47">
        <f t="shared" si="7"/>
        <v>1600</v>
      </c>
      <c r="AQ50" s="47">
        <f t="shared" si="7"/>
        <v>1600</v>
      </c>
      <c r="AR50" s="47">
        <f t="shared" si="7"/>
        <v>1600</v>
      </c>
      <c r="AS50" s="47">
        <f t="shared" si="7"/>
        <v>1600</v>
      </c>
      <c r="AT50" s="48">
        <f t="shared" si="7"/>
        <v>1600</v>
      </c>
    </row>
    <row r="51" spans="10:46">
      <c r="J51" s="45">
        <f t="shared" si="4"/>
        <v>28</v>
      </c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7">
        <f t="shared" si="8"/>
        <v>1600</v>
      </c>
      <c r="AM51" s="47">
        <f t="shared" si="7"/>
        <v>1600</v>
      </c>
      <c r="AN51" s="47">
        <f t="shared" si="7"/>
        <v>1600</v>
      </c>
      <c r="AO51" s="47">
        <f t="shared" si="7"/>
        <v>1600</v>
      </c>
      <c r="AP51" s="47">
        <f t="shared" si="7"/>
        <v>1600</v>
      </c>
      <c r="AQ51" s="47">
        <f t="shared" si="7"/>
        <v>1600</v>
      </c>
      <c r="AR51" s="47">
        <f t="shared" si="7"/>
        <v>1600</v>
      </c>
      <c r="AS51" s="47">
        <f t="shared" si="7"/>
        <v>1600</v>
      </c>
      <c r="AT51" s="48">
        <f t="shared" si="7"/>
        <v>1600</v>
      </c>
    </row>
    <row r="52" spans="10:46">
      <c r="J52" s="45">
        <f t="shared" si="4"/>
        <v>29</v>
      </c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7">
        <f t="shared" si="8"/>
        <v>1600</v>
      </c>
      <c r="AN52" s="47">
        <f t="shared" si="7"/>
        <v>1600</v>
      </c>
      <c r="AO52" s="47">
        <f t="shared" si="7"/>
        <v>1600</v>
      </c>
      <c r="AP52" s="47">
        <f t="shared" si="7"/>
        <v>1600</v>
      </c>
      <c r="AQ52" s="47">
        <f t="shared" si="7"/>
        <v>1600</v>
      </c>
      <c r="AR52" s="47">
        <f t="shared" si="7"/>
        <v>1600</v>
      </c>
      <c r="AS52" s="47">
        <f t="shared" si="7"/>
        <v>1600</v>
      </c>
      <c r="AT52" s="48">
        <f t="shared" si="7"/>
        <v>1600</v>
      </c>
    </row>
    <row r="53" spans="10:46">
      <c r="J53" s="45">
        <f t="shared" si="4"/>
        <v>30</v>
      </c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7">
        <f t="shared" si="8"/>
        <v>1600</v>
      </c>
      <c r="AO53" s="47">
        <f t="shared" si="7"/>
        <v>1600</v>
      </c>
      <c r="AP53" s="47">
        <f t="shared" si="7"/>
        <v>1600</v>
      </c>
      <c r="AQ53" s="47">
        <f t="shared" si="7"/>
        <v>1600</v>
      </c>
      <c r="AR53" s="47">
        <f t="shared" si="7"/>
        <v>1600</v>
      </c>
      <c r="AS53" s="47">
        <f t="shared" si="7"/>
        <v>1600</v>
      </c>
      <c r="AT53" s="48">
        <f t="shared" si="7"/>
        <v>1600</v>
      </c>
    </row>
    <row r="54" spans="10:46">
      <c r="J54" s="45">
        <f t="shared" si="4"/>
        <v>31</v>
      </c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7">
        <f t="shared" si="8"/>
        <v>1600</v>
      </c>
      <c r="AP54" s="47">
        <f t="shared" si="7"/>
        <v>1600</v>
      </c>
      <c r="AQ54" s="47">
        <f t="shared" si="7"/>
        <v>1600</v>
      </c>
      <c r="AR54" s="47">
        <f t="shared" si="7"/>
        <v>1600</v>
      </c>
      <c r="AS54" s="47">
        <f t="shared" si="7"/>
        <v>1600</v>
      </c>
      <c r="AT54" s="48">
        <f t="shared" si="7"/>
        <v>1600</v>
      </c>
    </row>
    <row r="55" spans="10:46">
      <c r="J55" s="45">
        <f t="shared" si="4"/>
        <v>32</v>
      </c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7">
        <f t="shared" si="8"/>
        <v>1600</v>
      </c>
      <c r="AQ55" s="47">
        <f t="shared" si="7"/>
        <v>1600</v>
      </c>
      <c r="AR55" s="47">
        <f t="shared" si="7"/>
        <v>1600</v>
      </c>
      <c r="AS55" s="47">
        <f t="shared" si="7"/>
        <v>1600</v>
      </c>
      <c r="AT55" s="48">
        <f t="shared" si="7"/>
        <v>1600</v>
      </c>
    </row>
    <row r="56" spans="10:46">
      <c r="J56" s="45">
        <f t="shared" si="4"/>
        <v>33</v>
      </c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7">
        <f t="shared" si="8"/>
        <v>1600</v>
      </c>
      <c r="AR56" s="47">
        <f t="shared" si="7"/>
        <v>1600</v>
      </c>
      <c r="AS56" s="47">
        <f t="shared" si="7"/>
        <v>1600</v>
      </c>
      <c r="AT56" s="48">
        <f t="shared" si="7"/>
        <v>1600</v>
      </c>
    </row>
    <row r="57" spans="10:46">
      <c r="J57" s="45">
        <f t="shared" si="4"/>
        <v>34</v>
      </c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7">
        <f t="shared" si="8"/>
        <v>1600</v>
      </c>
      <c r="AS57" s="47">
        <f t="shared" si="7"/>
        <v>1600</v>
      </c>
      <c r="AT57" s="48">
        <f t="shared" si="7"/>
        <v>1600</v>
      </c>
    </row>
    <row r="58" spans="10:46">
      <c r="J58" s="45">
        <f t="shared" si="4"/>
        <v>35</v>
      </c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7">
        <f t="shared" si="8"/>
        <v>1600</v>
      </c>
      <c r="AT58" s="48">
        <f t="shared" si="7"/>
        <v>1600</v>
      </c>
    </row>
    <row r="59" spans="10:46">
      <c r="J59" s="45">
        <f t="shared" si="4"/>
        <v>36</v>
      </c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8">
        <f t="shared" si="8"/>
        <v>1600</v>
      </c>
    </row>
    <row r="60" spans="10:46">
      <c r="J60" s="45"/>
      <c r="K60" s="47">
        <f>SUM(K24:K59)</f>
        <v>1600</v>
      </c>
      <c r="L60" s="47">
        <f t="shared" ref="L60:AT60" si="9">SUM(L24:L59)</f>
        <v>3200</v>
      </c>
      <c r="M60" s="47">
        <f t="shared" si="9"/>
        <v>4800</v>
      </c>
      <c r="N60" s="47">
        <f t="shared" si="9"/>
        <v>6400</v>
      </c>
      <c r="O60" s="47">
        <f t="shared" si="9"/>
        <v>8000</v>
      </c>
      <c r="P60" s="47">
        <f t="shared" si="9"/>
        <v>9600</v>
      </c>
      <c r="Q60" s="47">
        <f t="shared" si="9"/>
        <v>11200</v>
      </c>
      <c r="R60" s="47">
        <f t="shared" si="9"/>
        <v>12800</v>
      </c>
      <c r="S60" s="47">
        <f t="shared" si="9"/>
        <v>14400</v>
      </c>
      <c r="T60" s="47">
        <f t="shared" si="9"/>
        <v>16000</v>
      </c>
      <c r="U60" s="47">
        <f t="shared" si="9"/>
        <v>17600</v>
      </c>
      <c r="V60" s="47">
        <f t="shared" si="9"/>
        <v>19200</v>
      </c>
      <c r="W60" s="47">
        <f t="shared" si="9"/>
        <v>20800</v>
      </c>
      <c r="X60" s="47">
        <f t="shared" si="9"/>
        <v>22400</v>
      </c>
      <c r="Y60" s="47">
        <f t="shared" si="9"/>
        <v>24000</v>
      </c>
      <c r="Z60" s="47">
        <f t="shared" si="9"/>
        <v>25600</v>
      </c>
      <c r="AA60" s="47">
        <f t="shared" si="9"/>
        <v>27200</v>
      </c>
      <c r="AB60" s="47">
        <f t="shared" si="9"/>
        <v>28800</v>
      </c>
      <c r="AC60" s="47">
        <f t="shared" si="9"/>
        <v>30400</v>
      </c>
      <c r="AD60" s="47">
        <f t="shared" si="9"/>
        <v>32000</v>
      </c>
      <c r="AE60" s="47">
        <f t="shared" si="9"/>
        <v>33600</v>
      </c>
      <c r="AF60" s="47">
        <f t="shared" si="9"/>
        <v>35200</v>
      </c>
      <c r="AG60" s="47">
        <f t="shared" si="9"/>
        <v>36800</v>
      </c>
      <c r="AH60" s="47">
        <f t="shared" si="9"/>
        <v>38400</v>
      </c>
      <c r="AI60" s="47">
        <f t="shared" si="9"/>
        <v>40000</v>
      </c>
      <c r="AJ60" s="47">
        <f t="shared" si="9"/>
        <v>41600</v>
      </c>
      <c r="AK60" s="47">
        <f t="shared" si="9"/>
        <v>43200</v>
      </c>
      <c r="AL60" s="47">
        <f t="shared" si="9"/>
        <v>44800</v>
      </c>
      <c r="AM60" s="47">
        <f t="shared" si="9"/>
        <v>46400</v>
      </c>
      <c r="AN60" s="47">
        <f t="shared" si="9"/>
        <v>48000</v>
      </c>
      <c r="AO60" s="47">
        <f t="shared" si="9"/>
        <v>49600</v>
      </c>
      <c r="AP60" s="47">
        <f t="shared" si="9"/>
        <v>51200</v>
      </c>
      <c r="AQ60" s="47">
        <f t="shared" si="9"/>
        <v>52800</v>
      </c>
      <c r="AR60" s="47">
        <f t="shared" si="9"/>
        <v>54400</v>
      </c>
      <c r="AS60" s="47">
        <f t="shared" si="9"/>
        <v>56000</v>
      </c>
      <c r="AT60" s="48">
        <f t="shared" si="9"/>
        <v>57600</v>
      </c>
    </row>
    <row r="61" spans="10:46" ht="14.5" thickBot="1">
      <c r="J61" s="49"/>
      <c r="K61" s="50">
        <v>1</v>
      </c>
      <c r="L61" s="50">
        <f t="shared" ref="L61:AT61" si="10">K61+1</f>
        <v>2</v>
      </c>
      <c r="M61" s="50">
        <f t="shared" si="10"/>
        <v>3</v>
      </c>
      <c r="N61" s="50">
        <f t="shared" si="10"/>
        <v>4</v>
      </c>
      <c r="O61" s="50">
        <f t="shared" si="10"/>
        <v>5</v>
      </c>
      <c r="P61" s="50">
        <f t="shared" si="10"/>
        <v>6</v>
      </c>
      <c r="Q61" s="50">
        <f t="shared" si="10"/>
        <v>7</v>
      </c>
      <c r="R61" s="50">
        <f t="shared" si="10"/>
        <v>8</v>
      </c>
      <c r="S61" s="50">
        <f t="shared" si="10"/>
        <v>9</v>
      </c>
      <c r="T61" s="50">
        <f t="shared" si="10"/>
        <v>10</v>
      </c>
      <c r="U61" s="50">
        <f t="shared" si="10"/>
        <v>11</v>
      </c>
      <c r="V61" s="50">
        <f t="shared" si="10"/>
        <v>12</v>
      </c>
      <c r="W61" s="50">
        <f t="shared" si="10"/>
        <v>13</v>
      </c>
      <c r="X61" s="50">
        <f t="shared" si="10"/>
        <v>14</v>
      </c>
      <c r="Y61" s="50">
        <f t="shared" si="10"/>
        <v>15</v>
      </c>
      <c r="Z61" s="50">
        <f t="shared" si="10"/>
        <v>16</v>
      </c>
      <c r="AA61" s="50">
        <f t="shared" si="10"/>
        <v>17</v>
      </c>
      <c r="AB61" s="50">
        <f t="shared" si="10"/>
        <v>18</v>
      </c>
      <c r="AC61" s="50">
        <f t="shared" si="10"/>
        <v>19</v>
      </c>
      <c r="AD61" s="50">
        <f t="shared" si="10"/>
        <v>20</v>
      </c>
      <c r="AE61" s="50">
        <f t="shared" si="10"/>
        <v>21</v>
      </c>
      <c r="AF61" s="50">
        <f t="shared" si="10"/>
        <v>22</v>
      </c>
      <c r="AG61" s="50">
        <f t="shared" si="10"/>
        <v>23</v>
      </c>
      <c r="AH61" s="50">
        <f t="shared" si="10"/>
        <v>24</v>
      </c>
      <c r="AI61" s="50">
        <f t="shared" si="10"/>
        <v>25</v>
      </c>
      <c r="AJ61" s="50">
        <f t="shared" si="10"/>
        <v>26</v>
      </c>
      <c r="AK61" s="50">
        <f t="shared" si="10"/>
        <v>27</v>
      </c>
      <c r="AL61" s="50">
        <f t="shared" si="10"/>
        <v>28</v>
      </c>
      <c r="AM61" s="50">
        <f t="shared" si="10"/>
        <v>29</v>
      </c>
      <c r="AN61" s="50">
        <f t="shared" si="10"/>
        <v>30</v>
      </c>
      <c r="AO61" s="50">
        <f t="shared" si="10"/>
        <v>31</v>
      </c>
      <c r="AP61" s="50">
        <f t="shared" si="10"/>
        <v>32</v>
      </c>
      <c r="AQ61" s="50">
        <f t="shared" si="10"/>
        <v>33</v>
      </c>
      <c r="AR61" s="50">
        <f t="shared" si="10"/>
        <v>34</v>
      </c>
      <c r="AS61" s="50">
        <f t="shared" si="10"/>
        <v>35</v>
      </c>
      <c r="AT61" s="51">
        <f t="shared" si="10"/>
        <v>36</v>
      </c>
    </row>
  </sheetData>
  <mergeCells count="15">
    <mergeCell ref="B15:E15"/>
    <mergeCell ref="B16:E16"/>
    <mergeCell ref="B17:E17"/>
    <mergeCell ref="B11:E11"/>
    <mergeCell ref="J11:K11"/>
    <mergeCell ref="B12:E12"/>
    <mergeCell ref="J12:K12"/>
    <mergeCell ref="B13:E13"/>
    <mergeCell ref="B14:E14"/>
    <mergeCell ref="B8:E8"/>
    <mergeCell ref="J8:K8"/>
    <mergeCell ref="B9:E9"/>
    <mergeCell ref="J9:K9"/>
    <mergeCell ref="B10:E10"/>
    <mergeCell ref="J10:K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 Standard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DWright</dc:creator>
  <cp:lastModifiedBy>Doug Wright</cp:lastModifiedBy>
  <dcterms:created xsi:type="dcterms:W3CDTF">2026-08-10T00:54:02Z</dcterms:created>
  <dcterms:modified xsi:type="dcterms:W3CDTF">2026-08-21T15:06:18Z</dcterms:modified>
</cp:coreProperties>
</file>